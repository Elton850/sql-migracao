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-Repositorios\sql-migracao\"/>
    </mc:Choice>
  </mc:AlternateContent>
  <xr:revisionPtr revIDLastSave="0" documentId="13_ncr:1_{348A2293-5950-474A-968C-D2C7874C5D70}" xr6:coauthVersionLast="47" xr6:coauthVersionMax="47" xr10:uidLastSave="{00000000-0000-0000-0000-000000000000}"/>
  <bookViews>
    <workbookView xWindow="-19310" yWindow="-110" windowWidth="19420" windowHeight="10300" tabRatio="920" firstSheet="1" activeTab="6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8" l="1"/>
  <c r="J2" i="8" s="1"/>
  <c r="J5" i="3"/>
  <c r="J3" i="3"/>
  <c r="J28" i="11"/>
  <c r="F30" i="11"/>
  <c r="J30" i="11" s="1"/>
  <c r="F29" i="11"/>
  <c r="J29" i="11" s="1"/>
  <c r="F28" i="11"/>
  <c r="F27" i="11"/>
  <c r="J27" i="11" s="1"/>
  <c r="F26" i="11"/>
  <c r="J26" i="11" s="1"/>
  <c r="F25" i="11"/>
  <c r="J25" i="11" s="1"/>
  <c r="F24" i="11"/>
  <c r="J24" i="11" s="1"/>
  <c r="F23" i="11"/>
  <c r="J23" i="11" s="1"/>
  <c r="F22" i="11"/>
  <c r="J22" i="11" s="1"/>
  <c r="F21" i="11"/>
  <c r="J21" i="11" s="1"/>
  <c r="F20" i="11"/>
  <c r="J20" i="11" s="1"/>
  <c r="F19" i="11"/>
  <c r="J19" i="11" s="1"/>
  <c r="F18" i="11"/>
  <c r="J18" i="11" s="1"/>
  <c r="F17" i="11"/>
  <c r="J17" i="11" s="1"/>
  <c r="F16" i="11"/>
  <c r="J16" i="11" s="1"/>
  <c r="F15" i="11"/>
  <c r="J15" i="11" s="1"/>
  <c r="F14" i="11"/>
  <c r="J14" i="11" s="1"/>
  <c r="F13" i="11"/>
  <c r="J13" i="11" s="1"/>
  <c r="F12" i="11"/>
  <c r="J12" i="11" s="1"/>
  <c r="F11" i="11"/>
  <c r="J11" i="11" s="1"/>
  <c r="F10" i="11"/>
  <c r="J10" i="11" s="1"/>
  <c r="F9" i="11"/>
  <c r="J9" i="11" s="1"/>
  <c r="F8" i="11"/>
  <c r="J8" i="11" s="1"/>
  <c r="F7" i="11"/>
  <c r="J7" i="11" s="1"/>
  <c r="F6" i="11"/>
  <c r="J6" i="11" s="1"/>
  <c r="F5" i="11"/>
  <c r="J5" i="11" s="1"/>
  <c r="F4" i="11"/>
  <c r="J4" i="11" s="1"/>
  <c r="F3" i="11"/>
  <c r="J3" i="11" s="1"/>
  <c r="J5" i="10"/>
  <c r="J2" i="10"/>
  <c r="F3" i="10"/>
  <c r="J3" i="10" s="1"/>
  <c r="F4" i="10"/>
  <c r="J4" i="10" s="1"/>
  <c r="F5" i="10"/>
  <c r="F6" i="10"/>
  <c r="F7" i="10"/>
  <c r="F8" i="10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F36" i="9"/>
  <c r="J36" i="9" s="1"/>
  <c r="F35" i="9"/>
  <c r="J35" i="9" s="1"/>
  <c r="F34" i="9"/>
  <c r="J34" i="9" s="1"/>
  <c r="F5" i="9"/>
  <c r="J5" i="9" s="1"/>
  <c r="F4" i="9"/>
  <c r="F3" i="9"/>
  <c r="J3" i="9" s="1"/>
  <c r="J4" i="9"/>
  <c r="F88" i="8"/>
  <c r="J88" i="8" s="1"/>
  <c r="F87" i="8"/>
  <c r="J87" i="8" s="1"/>
  <c r="F86" i="8"/>
  <c r="J86" i="8" s="1"/>
  <c r="F85" i="8"/>
  <c r="J85" i="8" s="1"/>
  <c r="F84" i="8"/>
  <c r="J84" i="8" s="1"/>
  <c r="F83" i="8"/>
  <c r="J83" i="8" s="1"/>
  <c r="F82" i="8"/>
  <c r="J82" i="8" s="1"/>
  <c r="F81" i="8"/>
  <c r="J81" i="8" s="1"/>
  <c r="F80" i="8"/>
  <c r="J80" i="8" s="1"/>
  <c r="F79" i="8"/>
  <c r="J79" i="8" s="1"/>
  <c r="F78" i="8"/>
  <c r="J78" i="8" s="1"/>
  <c r="F77" i="8"/>
  <c r="J77" i="8" s="1"/>
  <c r="F76" i="8"/>
  <c r="J76" i="8" s="1"/>
  <c r="F75" i="8"/>
  <c r="J75" i="8" s="1"/>
  <c r="F74" i="8"/>
  <c r="J74" i="8" s="1"/>
  <c r="F73" i="8"/>
  <c r="J73" i="8" s="1"/>
  <c r="F72" i="8"/>
  <c r="J72" i="8" s="1"/>
  <c r="F71" i="8"/>
  <c r="J71" i="8" s="1"/>
  <c r="F70" i="8"/>
  <c r="J70" i="8" s="1"/>
  <c r="F69" i="8"/>
  <c r="J69" i="8" s="1"/>
  <c r="F68" i="8"/>
  <c r="J68" i="8" s="1"/>
  <c r="F67" i="8"/>
  <c r="J67" i="8" s="1"/>
  <c r="F66" i="8"/>
  <c r="J66" i="8" s="1"/>
  <c r="F65" i="8"/>
  <c r="J65" i="8" s="1"/>
  <c r="F64" i="8"/>
  <c r="J64" i="8" s="1"/>
  <c r="F63" i="8"/>
  <c r="J63" i="8" s="1"/>
  <c r="F62" i="8"/>
  <c r="J62" i="8" s="1"/>
  <c r="F61" i="8"/>
  <c r="J61" i="8" s="1"/>
  <c r="F60" i="8"/>
  <c r="J60" i="8" s="1"/>
  <c r="F59" i="8"/>
  <c r="J59" i="8" s="1"/>
  <c r="F58" i="8"/>
  <c r="J58" i="8" s="1"/>
  <c r="F57" i="8"/>
  <c r="J57" i="8" s="1"/>
  <c r="F56" i="8"/>
  <c r="J56" i="8" s="1"/>
  <c r="F55" i="8"/>
  <c r="J55" i="8" s="1"/>
  <c r="F54" i="8"/>
  <c r="J54" i="8" s="1"/>
  <c r="F53" i="8"/>
  <c r="J53" i="8" s="1"/>
  <c r="F52" i="8"/>
  <c r="J52" i="8" s="1"/>
  <c r="F51" i="8"/>
  <c r="J51" i="8" s="1"/>
  <c r="F50" i="8"/>
  <c r="J50" i="8" s="1"/>
  <c r="F49" i="8"/>
  <c r="J49" i="8" s="1"/>
  <c r="F48" i="8"/>
  <c r="J48" i="8" s="1"/>
  <c r="F47" i="8"/>
  <c r="J47" i="8" s="1"/>
  <c r="F46" i="8"/>
  <c r="J46" i="8" s="1"/>
  <c r="F45" i="8"/>
  <c r="J45" i="8" s="1"/>
  <c r="F44" i="8"/>
  <c r="J44" i="8" s="1"/>
  <c r="F43" i="8"/>
  <c r="J43" i="8" s="1"/>
  <c r="F42" i="8"/>
  <c r="J42" i="8" s="1"/>
  <c r="F41" i="8"/>
  <c r="J41" i="8" s="1"/>
  <c r="F40" i="8"/>
  <c r="J40" i="8" s="1"/>
  <c r="F39" i="8"/>
  <c r="J39" i="8" s="1"/>
  <c r="F38" i="8"/>
  <c r="J38" i="8" s="1"/>
  <c r="F37" i="8"/>
  <c r="J37" i="8" s="1"/>
  <c r="F36" i="8"/>
  <c r="J36" i="8" s="1"/>
  <c r="F35" i="8"/>
  <c r="J35" i="8" s="1"/>
  <c r="F34" i="8"/>
  <c r="J34" i="8" s="1"/>
  <c r="F33" i="8"/>
  <c r="J33" i="8" s="1"/>
  <c r="F32" i="8"/>
  <c r="J32" i="8" s="1"/>
  <c r="F31" i="8"/>
  <c r="J31" i="8" s="1"/>
  <c r="F30" i="8"/>
  <c r="J30" i="8" s="1"/>
  <c r="F29" i="8"/>
  <c r="J29" i="8" s="1"/>
  <c r="F28" i="8"/>
  <c r="J28" i="8" s="1"/>
  <c r="F27" i="8"/>
  <c r="J27" i="8" s="1"/>
  <c r="F26" i="8"/>
  <c r="J26" i="8" s="1"/>
  <c r="F25" i="8"/>
  <c r="J25" i="8" s="1"/>
  <c r="F24" i="8"/>
  <c r="J24" i="8" s="1"/>
  <c r="F23" i="8"/>
  <c r="J23" i="8" s="1"/>
  <c r="F22" i="8"/>
  <c r="J22" i="8" s="1"/>
  <c r="F21" i="8"/>
  <c r="J21" i="8" s="1"/>
  <c r="F20" i="8"/>
  <c r="J20" i="8" s="1"/>
  <c r="F19" i="8"/>
  <c r="J19" i="8" s="1"/>
  <c r="F18" i="8"/>
  <c r="J18" i="8" s="1"/>
  <c r="F17" i="8"/>
  <c r="J17" i="8" s="1"/>
  <c r="F16" i="8"/>
  <c r="J16" i="8" s="1"/>
  <c r="F15" i="8"/>
  <c r="J15" i="8" s="1"/>
  <c r="F14" i="8"/>
  <c r="J14" i="8" s="1"/>
  <c r="F13" i="8"/>
  <c r="J13" i="8" s="1"/>
  <c r="F12" i="8"/>
  <c r="J12" i="8" s="1"/>
  <c r="F11" i="8"/>
  <c r="J11" i="8" s="1"/>
  <c r="F10" i="8"/>
  <c r="J10" i="8" s="1"/>
  <c r="F9" i="8"/>
  <c r="J9" i="8" s="1"/>
  <c r="F8" i="8"/>
  <c r="J8" i="8" s="1"/>
  <c r="F7" i="8"/>
  <c r="J7" i="8" s="1"/>
  <c r="F6" i="8"/>
  <c r="J6" i="8" s="1"/>
  <c r="F5" i="8"/>
  <c r="J5" i="8" s="1"/>
  <c r="F4" i="8"/>
  <c r="J4" i="8" s="1"/>
  <c r="F3" i="8"/>
  <c r="J3" i="8" s="1"/>
  <c r="J4" i="7"/>
  <c r="J2" i="7"/>
  <c r="J6" i="7"/>
  <c r="J5" i="7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F4" i="3"/>
  <c r="F3" i="3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F2" i="11"/>
  <c r="F2" i="10"/>
  <c r="F2" i="9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2"/>
  <c r="J2" i="11"/>
  <c r="J2" i="9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<sst xmlns="http://schemas.openxmlformats.org/spreadsheetml/2006/main" count="2331" uniqueCount="858">
  <si>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</si>
  <si>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</si>
  <si>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</si>
  <si>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</si>
  <si>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</si>
  <si>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</si>
  <si>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</si>
  <si>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</si>
  <si>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</si>
  <si>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</si>
  <si>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</si>
  <si>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</si>
  <si>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</si>
  <si>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</si>
  <si>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</si>
  <si>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</si>
  <si>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</si>
  <si>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</si>
  <si>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</si>
  <si>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</si>
  <si>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</si>
  <si>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</si>
  <si>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</si>
  <si>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</si>
  <si>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</si>
  <si>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</si>
  <si>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</si>
  <si>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</si>
  <si>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</si>
  <si>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</si>
  <si>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</si>
  <si>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</si>
  <si>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</si>
  <si>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</si>
  <si>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</si>
  <si>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</si>
  <si>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</si>
  <si>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</si>
  <si>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</si>
  <si>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</si>
  <si>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</si>
  <si>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</si>
  <si>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</si>
  <si>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</si>
  <si>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</si>
  <si>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</si>
  <si>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</si>
  <si>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</si>
  <si>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</si>
  <si>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</si>
  <si>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</si>
  <si>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</si>
  <si>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</si>
  <si>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</si>
  <si>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</si>
  <si>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</si>
  <si>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</si>
  <si>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</si>
  <si>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</si>
  <si>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</si>
  <si>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</si>
  <si>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</si>
  <si>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</si>
  <si>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</si>
  <si>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</si>
  <si>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</si>
  <si>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</si>
  <si>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</si>
  <si>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</si>
  <si>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</si>
  <si>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</si>
  <si>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</si>
  <si>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</si>
  <si>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</si>
  <si>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</si>
  <si>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</si>
  <si>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</si>
  <si>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</si>
  <si>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</si>
  <si>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</si>
  <si>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</si>
  <si>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</si>
  <si>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</si>
  <si>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</si>
  <si>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</si>
  <si>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</si>
  <si>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</si>
  <si>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</si>
  <si>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</si>
  <si>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</si>
  <si>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</si>
  <si>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</si>
  <si>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</si>
  <si>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</si>
  <si>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</si>
  <si>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</si>
  <si>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</si>
  <si>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</si>
  <si>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</si>
  <si>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</si>
  <si>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</si>
  <si>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</si>
  <si>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</si>
  <si>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</si>
  <si>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</si>
  <si>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</si>
  <si>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</si>
  <si>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</si>
  <si>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</si>
  <si>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</si>
  <si>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</si>
  <si>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</si>
  <si>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</si>
  <si>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</si>
  <si>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</si>
  <si>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</si>
  <si>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</si>
  <si>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</si>
  <si>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</si>
  <si>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</si>
  <si>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</si>
  <si>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</si>
  <si>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</si>
  <si>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</si>
  <si>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</si>
  <si>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</si>
  <si>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</si>
  <si>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</si>
  <si>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</si>
  <si>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</si>
  <si>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</si>
  <si>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1 – Indígena</t>
  </si>
  <si>
    <t>2 – Branca</t>
  </si>
  <si>
    <t>4 – Preta</t>
  </si>
  <si>
    <t>6 – Amarela</t>
  </si>
  <si>
    <t>8 – Parda</t>
  </si>
  <si>
    <t>9 - Não Informada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</si>
  <si>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</si>
  <si>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</si>
  <si>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</si>
  <si>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</si>
  <si>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</si>
  <si>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</si>
  <si>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</si>
  <si>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</si>
  <si>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</si>
  <si>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</si>
  <si>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</si>
  <si>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</si>
  <si>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</si>
  <si>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</si>
  <si>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</si>
  <si>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</si>
  <si>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</si>
  <si>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</si>
  <si>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</si>
  <si>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</si>
  <si>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</si>
  <si>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</si>
  <si>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</si>
  <si>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</si>
  <si>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</si>
  <si>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</si>
  <si>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</si>
  <si>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</si>
  <si>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</si>
  <si>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</si>
  <si>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</si>
  <si>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</si>
  <si>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</si>
  <si>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</si>
  <si>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</si>
  <si>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</si>
  <si>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</si>
  <si>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</si>
  <si>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</si>
  <si>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</si>
  <si>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</si>
  <si>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</si>
  <si>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</si>
  <si>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</si>
  <si>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</si>
  <si>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</si>
  <si>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</si>
  <si>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</si>
  <si>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</si>
  <si>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</si>
  <si>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</si>
  <si>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</si>
  <si>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</si>
  <si>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</si>
  <si>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</si>
  <si>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</si>
  <si>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</si>
  <si>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</si>
  <si>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</si>
  <si>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</si>
  <si>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</si>
  <si>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</si>
  <si>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</si>
  <si>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</si>
  <si>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</si>
  <si>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</si>
  <si>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</si>
  <si>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</si>
  <si>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</si>
  <si>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</si>
  <si>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</si>
  <si>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</si>
  <si>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</si>
  <si>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</si>
  <si>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</si>
  <si>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</si>
  <si>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</si>
  <si>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</si>
  <si>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</si>
  <si>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</si>
  <si>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</si>
  <si>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</si>
  <si>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</si>
  <si>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</si>
  <si>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</si>
  <si>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</si>
  <si>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</si>
  <si>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</si>
  <si>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</si>
  <si>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</si>
  <si>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</si>
  <si>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</si>
  <si>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</si>
  <si>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</si>
  <si>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</si>
  <si>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</si>
  <si>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</si>
  <si>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</si>
  <si>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</si>
  <si>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</si>
  <si>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</si>
  <si>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V – Vencimento</t>
  </si>
  <si>
    <t>D – Desconto</t>
  </si>
  <si>
    <t>B – Base</t>
  </si>
  <si>
    <t>Data da Alteração</t>
  </si>
  <si>
    <t>Variável: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</si>
  <si>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</si>
  <si>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</si>
  <si>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</si>
  <si>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</si>
  <si>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Código Antigo, cfe. Variável acima. OBS.: Campo obrigatório nas
conversões para o Darwin.</t>
  </si>
  <si>
    <t>Conteúdo Antigo. Descrição do Código Antigo na época da
alteração. Caso não seja informada, será gravada a atual. OBS.:
Campo obrigatório nas conversões para o Darwin.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</si>
  <si>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</si>
  <si>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</si>
  <si>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</si>
  <si>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</si>
  <si>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</si>
  <si>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</si>
  <si>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</si>
  <si>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</si>
  <si>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</si>
  <si>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</si>
  <si>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</si>
  <si>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</si>
  <si>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</si>
  <si>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</si>
  <si>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</si>
  <si>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</si>
  <si>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</si>
  <si>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</si>
  <si>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</si>
  <si>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</si>
  <si>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</si>
  <si>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</si>
  <si>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</si>
  <si>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</si>
  <si>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</si>
  <si>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</si>
  <si>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</si>
  <si>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</si>
  <si>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</si>
  <si>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</si>
  <si>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</si>
  <si>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</si>
  <si>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</si>
  <si>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</si>
  <si>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</si>
  <si>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</si>
  <si>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</si>
  <si>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</si>
  <si>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</si>
  <si>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</si>
  <si>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</si>
  <si>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</si>
  <si>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</si>
  <si>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</si>
  <si>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</si>
  <si>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</si>
  <si>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</si>
  <si>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</si>
  <si>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</si>
  <si>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</si>
  <si>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</si>
  <si>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</si>
  <si>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</si>
  <si>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</si>
  <si>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</si>
  <si>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</si>
  <si>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</si>
  <si>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</si>
  <si>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</si>
  <si>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</si>
  <si>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</si>
  <si>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</si>
  <si>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</si>
  <si>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</si>
  <si>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</si>
  <si>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</si>
  <si>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</si>
  <si>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0 – Só Valor</t>
  </si>
  <si>
    <t>1 – Horas e Valor</t>
  </si>
  <si>
    <t>2 – Dias e Valor</t>
  </si>
  <si>
    <t>3 – Quantidade de Tarefas e Valor</t>
  </si>
  <si>
    <t>Valor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</si>
  <si>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</si>
  <si>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</si>
  <si>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</si>
  <si>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</si>
  <si>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</si>
  <si>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</si>
  <si>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</si>
  <si>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</si>
  <si>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</si>
  <si>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</si>
  <si>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</si>
  <si>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</si>
  <si>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</si>
  <si>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</si>
  <si>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</si>
  <si>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</si>
  <si>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</si>
  <si>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</si>
  <si>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</si>
  <si>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</si>
  <si>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</si>
  <si>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</si>
  <si>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</si>
  <si>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</si>
  <si>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</si>
  <si>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</si>
  <si>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</si>
  <si>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</si>
  <si>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</si>
  <si>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</si>
  <si>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</si>
  <si>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</si>
  <si>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</si>
  <si>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</si>
  <si>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</si>
  <si>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</si>
  <si>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</si>
  <si>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</si>
  <si>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</si>
  <si>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</si>
  <si>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</si>
  <si>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</si>
  <si>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</si>
  <si>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</si>
  <si>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</si>
  <si>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</si>
  <si>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</si>
  <si>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</si>
  <si>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</si>
  <si>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</si>
  <si>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</si>
  <si>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</si>
  <si>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</si>
  <si>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</si>
  <si>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</si>
  <si>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</si>
  <si>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</si>
  <si>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</si>
  <si>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</si>
  <si>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</si>
  <si>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</si>
  <si>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</si>
  <si>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</si>
  <si>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</si>
  <si>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</si>
  <si>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</si>
  <si>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</si>
  <si>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</si>
  <si>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</si>
  <si>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</si>
  <si>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</si>
  <si>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</si>
  <si>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</si>
  <si>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</si>
  <si>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</si>
  <si>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</si>
  <si>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</si>
  <si>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</si>
  <si>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</si>
  <si>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</si>
  <si>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</si>
  <si>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</si>
  <si>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</si>
  <si>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</si>
  <si>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</si>
  <si>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</si>
  <si>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</si>
  <si>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</si>
  <si>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</si>
  <si>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</si>
  <si>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</si>
  <si>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</si>
  <si>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</si>
  <si>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</si>
  <si>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</si>
  <si>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</si>
  <si>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</si>
  <si>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</si>
  <si>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</si>
  <si>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</si>
  <si>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</si>
  <si>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</si>
  <si>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</si>
  <si>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</si>
  <si>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</si>
  <si>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</si>
  <si>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</si>
  <si>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</si>
  <si>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</si>
  <si>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</si>
  <si>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</si>
  <si>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</si>
  <si>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</si>
  <si>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</si>
  <si>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</si>
  <si>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</si>
  <si>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</si>
  <si>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</si>
  <si>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</si>
  <si>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</si>
  <si>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</si>
  <si>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</si>
  <si>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</si>
  <si>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</si>
  <si>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</si>
  <si>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</si>
  <si>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</si>
  <si>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</si>
  <si>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</si>
  <si>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</si>
  <si>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</si>
  <si>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</si>
  <si>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</si>
  <si>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</si>
  <si>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</si>
  <si>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</si>
  <si>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</si>
  <si>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</si>
  <si>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</si>
  <si>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</si>
  <si>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</si>
  <si>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</si>
  <si>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</si>
  <si>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</si>
  <si>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</si>
  <si>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</si>
  <si>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</si>
  <si>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</si>
  <si>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</si>
  <si>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</si>
  <si>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</si>
  <si>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</si>
  <si>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</si>
  <si>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</si>
  <si>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</si>
  <si>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</si>
  <si>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</si>
  <si>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</si>
  <si>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</si>
  <si>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</si>
  <si>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</si>
  <si>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</si>
  <si>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</si>
  <si>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</si>
  <si>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</si>
  <si>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</si>
  <si>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</si>
  <si>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</si>
  <si>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</si>
  <si>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</si>
  <si>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</si>
  <si>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</si>
  <si>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</si>
  <si>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</si>
  <si>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</si>
  <si>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</si>
  <si>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</si>
  <si>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</si>
  <si>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</si>
  <si>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</si>
  <si>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</si>
  <si>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</si>
  <si>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</si>
  <si>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</si>
  <si>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</si>
  <si>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</si>
  <si>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</si>
  <si>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</si>
  <si>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</si>
  <si>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</si>
  <si>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</si>
  <si>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</si>
  <si>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</si>
  <si>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</si>
  <si>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</si>
  <si>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</si>
  <si>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</si>
  <si>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</si>
  <si>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</si>
  <si>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</si>
  <si>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</si>
  <si>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</si>
  <si>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</si>
  <si>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</si>
  <si>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</si>
  <si>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</si>
  <si>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</si>
  <si>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</si>
  <si>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</si>
  <si>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</si>
  <si>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</si>
  <si>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</si>
  <si>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</si>
  <si>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</si>
  <si>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</si>
  <si>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</si>
  <si>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</si>
  <si>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</si>
  <si>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</si>
  <si>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</si>
  <si>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</si>
  <si>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</si>
  <si>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</si>
  <si>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</si>
  <si>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</si>
  <si>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</si>
  <si>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</si>
  <si>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</si>
  <si>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</si>
  <si>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</si>
  <si>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</si>
  <si>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</si>
  <si>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</si>
  <si>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</si>
  <si>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</si>
  <si>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</si>
  <si>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</si>
  <si>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</si>
  <si>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</si>
  <si>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</si>
  <si>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</si>
  <si>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</si>
  <si>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</si>
  <si>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</si>
  <si>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</si>
  <si>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</si>
  <si>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</si>
  <si>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</si>
  <si>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</si>
  <si>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</si>
  <si>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</si>
  <si>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</si>
  <si>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</si>
  <si>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</si>
  <si>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</si>
  <si>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</si>
  <si>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</si>
  <si>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</si>
  <si>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</si>
  <si>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</si>
  <si>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</si>
  <si>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</si>
  <si>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</si>
  <si>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</si>
  <si>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</si>
  <si>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</si>
  <si>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</si>
  <si>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</si>
  <si>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</si>
  <si>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</si>
  <si>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</si>
  <si>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</si>
  <si>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</si>
  <si>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</si>
  <si>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</si>
  <si>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</si>
  <si>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</si>
  <si>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</si>
  <si>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</si>
  <si>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</si>
  <si>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</si>
  <si>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</si>
  <si>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</si>
  <si>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</si>
  <si>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</si>
  <si>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</si>
  <si>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</si>
  <si>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</si>
  <si>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</si>
  <si>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</si>
  <si>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</si>
  <si>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</si>
  <si>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</si>
  <si>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</si>
  <si>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</si>
  <si>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</si>
  <si>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</si>
  <si>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</si>
  <si>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</si>
  <si>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</si>
  <si>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</si>
  <si>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</si>
  <si>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</si>
  <si>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</si>
  <si>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</si>
  <si>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</si>
  <si>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</si>
  <si>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</si>
  <si>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</si>
  <si>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</si>
  <si>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</si>
  <si>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</si>
  <si>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</si>
  <si>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</si>
  <si>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</si>
  <si>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</si>
  <si>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</si>
  <si>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</si>
  <si>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</si>
  <si>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</si>
  <si>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</si>
  <si>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</si>
  <si>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</si>
  <si>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</si>
  <si>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</si>
  <si>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</si>
  <si>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</si>
  <si>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</si>
  <si>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</si>
  <si>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</si>
  <si>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</si>
  <si>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</si>
  <si>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</si>
  <si>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</si>
  <si>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</si>
  <si>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</si>
  <si>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</si>
  <si>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</si>
  <si>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</si>
  <si>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</si>
  <si>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</si>
  <si>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</si>
  <si>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</si>
  <si>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</si>
  <si>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</si>
  <si>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</si>
  <si>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</si>
  <si>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</si>
  <si>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</si>
  <si>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</si>
  <si>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</si>
  <si>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</si>
  <si>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</si>
  <si>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</si>
  <si>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</si>
  <si>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</si>
  <si>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</si>
  <si>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</si>
  <si>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</si>
  <si>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</si>
  <si>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</si>
  <si>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</si>
  <si>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</si>
  <si>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</si>
  <si>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</si>
  <si>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</si>
  <si>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</si>
  <si>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</si>
  <si>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</si>
  <si>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</si>
  <si>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</si>
  <si>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</si>
  <si>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</si>
  <si>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</si>
  <si>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</si>
  <si>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</si>
  <si>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</si>
  <si>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</si>
  <si>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</si>
  <si>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</si>
  <si>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</si>
  <si>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</si>
  <si>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</si>
  <si>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</si>
  <si>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</si>
  <si>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</si>
  <si>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</si>
  <si>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</si>
  <si>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</si>
  <si>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</si>
  <si>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</si>
  <si>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</si>
  <si>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</si>
  <si>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</si>
  <si>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</si>
  <si>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</si>
  <si>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</si>
  <si>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</si>
  <si>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</si>
  <si>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</si>
  <si>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</si>
  <si>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</si>
  <si>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</si>
  <si>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</si>
  <si>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</si>
  <si>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</si>
  <si>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</si>
  <si>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</si>
  <si>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</si>
  <si>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</si>
  <si>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</si>
  <si>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</si>
  <si>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</si>
  <si>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</si>
  <si>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</si>
  <si>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</si>
  <si>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</si>
  <si>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</si>
  <si>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</si>
  <si>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</si>
  <si>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</si>
  <si>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</si>
  <si>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</si>
  <si>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</si>
  <si>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</si>
  <si>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</si>
  <si>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</si>
  <si>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</si>
  <si>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</si>
  <si>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</si>
  <si>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</si>
  <si>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</si>
  <si>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</si>
  <si>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</si>
  <si>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</si>
  <si>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</si>
  <si>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</si>
  <si>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</si>
  <si>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</si>
  <si>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</si>
  <si>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</si>
  <si>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</si>
  <si>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</si>
  <si>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</si>
  <si>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</si>
  <si>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</si>
  <si>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</si>
  <si>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</si>
  <si>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</si>
  <si>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</si>
  <si>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</si>
  <si>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</si>
  <si>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</si>
  <si>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</si>
  <si>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</si>
  <si>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</si>
  <si>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</si>
  <si>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</si>
  <si>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</si>
  <si>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</si>
  <si>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</si>
  <si>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</si>
  <si>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</si>
  <si>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</si>
  <si>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</si>
  <si>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</si>
  <si>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</si>
  <si>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</si>
  <si>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</si>
  <si>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</si>
  <si>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</si>
  <si>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</si>
  <si>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</si>
  <si>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</si>
  <si>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</si>
  <si>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</si>
  <si>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</si>
  <si>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</si>
  <si>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</si>
  <si>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</si>
  <si>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</si>
  <si>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</si>
  <si>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</si>
  <si>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</si>
  <si>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</si>
  <si>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</si>
  <si>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</si>
  <si>
    <t>DATADEMISSAO</t>
  </si>
  <si>
    <t>PPESSOA</t>
  </si>
  <si>
    <t>CORRACA</t>
  </si>
  <si>
    <t>MUNICIPIO</t>
  </si>
  <si>
    <t>BAIRRO</t>
  </si>
  <si>
    <t>CIDADE</t>
  </si>
  <si>
    <t>EMAIL</t>
  </si>
  <si>
    <t>ESTADO</t>
  </si>
  <si>
    <t>TELEFONE1</t>
  </si>
  <si>
    <t>PISPASEP</t>
  </si>
  <si>
    <t>RUA</t>
  </si>
  <si>
    <t>NUMERO</t>
  </si>
  <si>
    <t>CARTIDENTIDADE</t>
  </si>
  <si>
    <t>DTEMISSAOIDENT</t>
  </si>
  <si>
    <t>ORGEMISSORIDENT</t>
  </si>
  <si>
    <t>UFEMISSAOIDENT</t>
  </si>
  <si>
    <t>TITULOELEITOR</t>
  </si>
  <si>
    <t>ZONATITELEITOR</t>
  </si>
  <si>
    <t>SECAOTITELEITOR</t>
  </si>
  <si>
    <t>ESTADOCIVIL</t>
  </si>
  <si>
    <t>GRAUINSTRUCAO</t>
  </si>
  <si>
    <t>NACIONALIDADE</t>
  </si>
  <si>
    <t>CERTIFRESERV</t>
  </si>
  <si>
    <t>CARTMOTORISTA</t>
  </si>
  <si>
    <t>TIPOCARTHABILIT</t>
  </si>
  <si>
    <t>DATAVENCHABILIT</t>
  </si>
  <si>
    <t>ORGEMISSORCNH</t>
  </si>
  <si>
    <t>UFCNH</t>
  </si>
  <si>
    <t>SERIECARTTRAB</t>
  </si>
  <si>
    <t>CARTEIRATRAB</t>
  </si>
  <si>
    <t>NUMEROCARTAOSUS</t>
  </si>
  <si>
    <t>DTCARTTRAB</t>
  </si>
  <si>
    <t>UFCARTTRAB</t>
  </si>
  <si>
    <t>DTEMISSAOCNH</t>
  </si>
  <si>
    <t>PFHSTAFT</t>
  </si>
  <si>
    <t>MOTIVO</t>
  </si>
  <si>
    <t>OBSERVAÇÃO</t>
  </si>
  <si>
    <t>Tipo do VDB</t>
  </si>
  <si>
    <t>PEVENTO</t>
  </si>
  <si>
    <t>Data Base da Folha de Pagamento. Sugerimos o último dia de cada mês para as Folhas Mensais.</t>
  </si>
  <si>
    <t>PFFINANC</t>
  </si>
  <si>
    <t>Código da Folha de Pagamento</t>
  </si>
  <si>
    <t>Tipo de Informação</t>
  </si>
  <si>
    <t>CHAPA</t>
  </si>
  <si>
    <t>Número do recibo do arquivo que contém as informações da rescisão contratual que originou o pagamento, gerado no eSocial.</t>
  </si>
  <si>
    <t>Identificador atribuído pela fonte pagadora para o demonstrativo de valores devidos ao trabalhador, gerado no eSocial.</t>
  </si>
  <si>
    <t>Horas, Dias ou Quantidade, cfe. Tipo de Informação. Zeros quando o Tipo de Informação for “0”.</t>
  </si>
  <si>
    <t>DECIMAL</t>
  </si>
  <si>
    <t>VALOR</t>
  </si>
  <si>
    <t>CODSECAO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</si>
</sst>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40"/>
    <tableColumn id="3" xr3:uid="{6BC0D58C-7B16-490B-8F47-82E8B71CF566}" uniqueName="3" name="D" queryTableFieldId="3" dataDxfId="39"/>
    <tableColumn id="4" xr3:uid="{B30BA9C1-3153-4150-8DC9-D12136937161}" uniqueName="4" name="OBR." queryTableFieldId="4" dataDxfId="38"/>
    <tableColumn id="5" xr3:uid="{7C491190-2553-4FD7-8B2F-E1B94C652546}" uniqueName="5" name="DESCRIÇÃO" queryTableFieldId="5" dataDxfId="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6"/>
    <tableColumn id="3" xr3:uid="{B9B0276C-ACC4-4F21-9065-5455D51A346D}" uniqueName="3" name="D" queryTableFieldId="3"/>
    <tableColumn id="4" xr3:uid="{94831E57-E2A9-4973-AD26-AAF75A94B34E}" uniqueName="4" name="OBR." queryTableFieldId="4" dataDxfId="35"/>
    <tableColumn id="5" xr3:uid="{D8437505-26A2-4A17-A19C-88030BB9E7D3}" uniqueName="5" name="DESCRIÇÃO" queryTableFieldId="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>
    <filterColumn colId="3">
      <customFilters>
        <customFilter operator="notEqual" val=" "/>
      </customFilters>
    </filterColumn>
  </autoFilter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33"/>
    <tableColumn id="3" xr3:uid="{723A5294-B050-48FD-8962-AF07E0F86152}" uniqueName="3" name="D" queryTableFieldId="3" dataDxfId="32"/>
    <tableColumn id="4" xr3:uid="{F2130AD4-23D5-4BAD-886D-98BDC7525F48}" uniqueName="4" name="OBR." queryTableFieldId="4" dataDxfId="31"/>
    <tableColumn id="5" xr3:uid="{9A5B0C1C-305C-4C2D-ACA5-B90A6A1D6808}" uniqueName="5" name="DESCRIÇÃO" queryTableFieldId="5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>
    <filterColumn colId="3">
      <customFilters>
        <customFilter operator="notEqual" val=" "/>
      </customFilters>
    </filterColumn>
  </autoFilter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29"/>
    <tableColumn id="3" xr3:uid="{1FEAEDE5-C7D0-4B6C-9446-73D76CE45F4A}" uniqueName="3" name="D" queryTableFieldId="3" dataDxfId="28"/>
    <tableColumn id="4" xr3:uid="{C1AFB090-35C7-4A32-B398-4E5A587F6651}" uniqueName="4" name="OBR." queryTableFieldId="4" dataDxfId="27"/>
    <tableColumn id="5" xr3:uid="{90D200AD-A556-4E7F-B2CA-A1F5A788C5CF}" uniqueName="5" name="DESCRIÇÃO" queryTableFieldId="5" dataDxfId="2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5"/>
    <tableColumn id="3" xr3:uid="{002F0EFC-812C-4DAB-910B-ECBC14224E8A}" uniqueName="3" name="D" queryTableFieldId="3" dataDxfId="24"/>
    <tableColumn id="4" xr3:uid="{455E5045-E9E6-4BC1-8ED4-EB8FB3C6AD10}" uniqueName="4" name="OBR." queryTableFieldId="4" dataDxfId="23"/>
    <tableColumn id="5" xr3:uid="{258895DC-DE79-4F04-A07E-65D2A369E96E}" uniqueName="5" name="DESCRIÇÃO" queryTableFieldId="5" dataDxf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21"/>
    <tableColumn id="3" xr3:uid="{8500CF19-72D7-483E-A8A0-19FC770A2C19}" uniqueName="3" name="D" queryTableFieldId="3" dataDxfId="20"/>
    <tableColumn id="4" xr3:uid="{26A31B4A-1BDC-4407-AF1B-1C5AF3CAA1B9}" uniqueName="4" name="OBR." queryTableFieldId="4" dataDxfId="19"/>
    <tableColumn id="5" xr3:uid="{F3DABFCA-E344-4DEA-AE0D-824D1FED31CF}" uniqueName="5" name="DESCRIÇÃO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17"/>
    <tableColumn id="3" xr3:uid="{1D8FE3C4-DD21-4135-B62A-EFC03C0119FB}" uniqueName="3" name="D" queryTableFieldId="3"/>
    <tableColumn id="4" xr3:uid="{89126DCE-2043-49DD-A46E-823063F56B47}" uniqueName="4" name="OBR." queryTableFieldId="4" dataDxfId="16"/>
    <tableColumn id="5" xr3:uid="{49AF2513-2986-4F3E-8C21-E8D6F12C970D}" uniqueName="5" name="DESCRICAO" queryTableFieldId="6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4"/>
    <tableColumn id="3" xr3:uid="{DCC27B6C-8965-40DA-BFB6-18C00C03A278}" uniqueName="3" name="D" queryTableFieldId="3"/>
    <tableColumn id="4" xr3:uid="{23B15200-C2DC-46BB-9E27-018C58373AFD}" uniqueName="4" name="OBR." queryTableFieldId="4" dataDxfId="13"/>
    <tableColumn id="5" xr3:uid="{6C70D054-A645-4007-A48B-057E8C903657}" uniqueName="5" name="DESCRIÇÃO" queryTableFieldId="5" dataDxf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1"/>
    <tableColumn id="3" xr3:uid="{CF12CF60-A703-475B-A48F-EFFAD2A4AD00}" uniqueName="3" name="D" queryTableFieldId="3" dataDxfId="10"/>
    <tableColumn id="4" xr3:uid="{BF94E83B-FA17-4FB8-80F7-6A0EA1B2031D}" uniqueName="4" name="OBR." queryTableFieldId="4" dataDxfId="9"/>
    <tableColumn id="5" xr3:uid="{771D95A7-37D0-4137-8135-84E5A5A16087}" uniqueName="5" name="DESCRIÇÃO" queryTableFieldId="5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/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7"/>
    <tableColumn id="6" xr3:uid="{E98DC1B6-778D-425C-9AFC-9B368C6AF7B3}" uniqueName="6" name="D" queryTableFieldId="6"/>
    <tableColumn id="4" xr3:uid="{673046A4-5B63-461B-B3B7-D4578A04A05D}" uniqueName="4" name="OBR." queryTableFieldId="4" dataDxfId="6"/>
    <tableColumn id="7" xr3:uid="{72F6911B-C24E-431C-8107-06F1B93F37F1}" uniqueName="7" name="DESCRICAO" queryTableFieldId="7" dataDxf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4"/>
    <tableColumn id="2" xr3:uid="{24CF904D-B3BC-474D-9AC9-D47230A7429A}" uniqueName="2" name="F" queryTableFieldId="2" dataDxfId="3"/>
    <tableColumn id="3" xr3:uid="{A4F5CCC0-6275-4B4B-9B7E-948AFBD26DA1}" uniqueName="3" name="D" queryTableFieldId="3" dataDxfId="2"/>
    <tableColumn id="4" xr3:uid="{CB70405E-55A0-43C7-9E12-37CC86A6EDBA}" uniqueName="4" name="OBR." queryTableFieldId="4" dataDxfId="1"/>
    <tableColumn id="5" xr3:uid="{7D0FE569-083A-4E82-A9B4-0B0583818D3F}" uniqueName="5" name="DESCRIÇÃO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externalLinkPath" Target="https://d.docs.live.net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sheetPr>
    <tabColor rgb="FFFF0000"/>
  </sheetPr>
  <dimension ref="A1:J11"/>
  <sheetViews>
    <sheetView workbookViewId="0">
      <selection activeCell="F16" sqref="F1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322</v>
      </c>
      <c r="I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>"LEFT(CAST("&amp;H2&amp;"."&amp;I2&amp;" AS "&amp;G2&amp;"), "&amp;A2*1&amp;") AS "&amp;F2&amp;","</f>
        <v>LEFT(CAST(. AS 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241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242</v>
      </c>
    </row>
    <row r="6" spans="1:10" x14ac:dyDescent="0.25">
      <c r="B6" t="s">
        <v>7</v>
      </c>
      <c r="C6" t="s">
        <v>7</v>
      </c>
      <c r="D6" t="s">
        <v>7</v>
      </c>
      <c r="E6" t="s">
        <v>243</v>
      </c>
    </row>
    <row r="7" spans="1:10" x14ac:dyDescent="0.25">
      <c r="B7" t="s">
        <v>7</v>
      </c>
      <c r="C7" t="s">
        <v>7</v>
      </c>
      <c r="D7" t="s">
        <v>7</v>
      </c>
      <c r="E7" t="s">
        <v>244</v>
      </c>
    </row>
    <row r="8" spans="1:10" x14ac:dyDescent="0.25">
      <c r="A8">
        <v>8</v>
      </c>
      <c r="B8" t="s">
        <v>6</v>
      </c>
      <c r="C8" t="s">
        <v>7</v>
      </c>
      <c r="D8" t="s">
        <v>8</v>
      </c>
      <c r="E8" t="s">
        <v>245</v>
      </c>
    </row>
    <row r="9" spans="1:10" x14ac:dyDescent="0.25">
      <c r="A9">
        <v>40</v>
      </c>
      <c r="B9" t="s">
        <v>6</v>
      </c>
      <c r="C9" t="s">
        <v>7</v>
      </c>
      <c r="D9" t="s">
        <v>32</v>
      </c>
      <c r="E9" t="s">
        <v>246</v>
      </c>
    </row>
    <row r="10" spans="1:10" x14ac:dyDescent="0.25">
      <c r="A10">
        <v>8</v>
      </c>
      <c r="B10" t="s">
        <v>6</v>
      </c>
      <c r="C10" t="s">
        <v>7</v>
      </c>
      <c r="D10" t="s">
        <v>32</v>
      </c>
      <c r="E10" t="s">
        <v>247</v>
      </c>
    </row>
    <row r="11" spans="1:10" x14ac:dyDescent="0.25">
      <c r="A11">
        <v>40</v>
      </c>
      <c r="B11" t="s">
        <v>6</v>
      </c>
      <c r="C11" t="s">
        <v>7</v>
      </c>
      <c r="D11" t="s">
        <v>32</v>
      </c>
      <c r="E1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sheetPr>
    <tabColor rgb="FFFFFF00"/>
  </sheetPr>
  <dimension ref="A1:J30"/>
  <sheetViews>
    <sheetView topLeftCell="A13" workbookViewId="0">
      <selection activeCell="D28" sqref="D28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848</v>
      </c>
      <c r="I2" t="s">
        <v>783</v>
      </c>
      <c r="J2" t="str">
        <f>"LEFT(CAST("&amp;H2&amp;"."&amp;I2&amp;" AS "&amp;G2&amp;"), "&amp;A2*1&amp;") AS "&amp;F2&amp;","</f>
        <v>LEFT(CAST(PFFINANC.CODCOLIGADA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30" si="0">"["&amp;E3&amp;"]"</f>
        <v>[Código do Contrato]</v>
      </c>
      <c r="G3" t="s">
        <v>328</v>
      </c>
      <c r="H3" t="s">
        <v>379</v>
      </c>
      <c r="I3" t="s">
        <v>851</v>
      </c>
      <c r="J3" t="str">
        <f>"LEFT(CAST("&amp;H3&amp;"."&amp;I3&amp;" AS "&amp;G3&amp;"), "&amp;A3*1&amp;") AS "&amp;F3&amp;","</f>
        <v>LEFT(CAST(PFUNC.CHAPA AS VARCHAR), 8)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847</v>
      </c>
      <c r="F4" t="str">
        <f t="shared" si="0"/>
        <v>[Data Base da Folha de Pagamento. Sugerimos o último dia de cada mês para as Folhas Mensais.]</v>
      </c>
      <c r="J4" t="str">
        <f t="shared" ref="J4:J30" si="1">"'' AS "&amp;F4&amp;","</f>
        <v>'' AS [Data Base da Folha de Pagamento. Sugerimos o último dia de cada mês para as Folhas Mensais.],</v>
      </c>
    </row>
    <row r="5" spans="1:10" x14ac:dyDescent="0.25">
      <c r="A5">
        <v>2</v>
      </c>
      <c r="B5" t="s">
        <v>17</v>
      </c>
      <c r="D5" t="s">
        <v>8</v>
      </c>
      <c r="E5" t="s">
        <v>849</v>
      </c>
      <c r="F5" t="str">
        <f t="shared" si="0"/>
        <v>[Código da Folha de Pagamento]</v>
      </c>
      <c r="J5" t="str">
        <f t="shared" si="1"/>
        <v>'' AS [Código da Folha de Pagamento],</v>
      </c>
    </row>
    <row r="6" spans="1:10" x14ac:dyDescent="0.25">
      <c r="B6" t="s">
        <v>7</v>
      </c>
      <c r="D6" t="s">
        <v>7</v>
      </c>
      <c r="E6" t="s">
        <v>300</v>
      </c>
      <c r="F6" t="str">
        <f t="shared" si="0"/>
        <v>[11 – Mensal]</v>
      </c>
      <c r="J6" t="str">
        <f t="shared" si="1"/>
        <v>'' AS [11 – Mensal],</v>
      </c>
    </row>
    <row r="7" spans="1:10" x14ac:dyDescent="0.25">
      <c r="B7" t="s">
        <v>7</v>
      </c>
      <c r="D7" t="s">
        <v>7</v>
      </c>
      <c r="E7" t="s">
        <v>301</v>
      </c>
      <c r="F7" t="str">
        <f t="shared" si="0"/>
        <v>[21 – Quinzenal – 1ª Quinzena]</v>
      </c>
      <c r="J7" t="str">
        <f t="shared" si="1"/>
        <v>'' AS [21 – Quinzenal – 1ª Quinzena],</v>
      </c>
    </row>
    <row r="8" spans="1:10" x14ac:dyDescent="0.25">
      <c r="B8" t="s">
        <v>7</v>
      </c>
      <c r="D8" t="s">
        <v>7</v>
      </c>
      <c r="E8" t="s">
        <v>302</v>
      </c>
      <c r="F8" t="str">
        <f t="shared" si="0"/>
        <v>[22 – Quinzenal – 2ª Quinzena]</v>
      </c>
      <c r="J8" t="str">
        <f t="shared" si="1"/>
        <v>'' AS [22 – Quinzenal – 2ª Quinzena],</v>
      </c>
    </row>
    <row r="9" spans="1:10" x14ac:dyDescent="0.25">
      <c r="B9" t="s">
        <v>7</v>
      </c>
      <c r="D9" t="s">
        <v>7</v>
      </c>
      <c r="E9" t="s">
        <v>303</v>
      </c>
      <c r="F9" t="str">
        <f t="shared" si="0"/>
        <v>[31 – Semanal – 1ª Semana]</v>
      </c>
      <c r="J9" t="str">
        <f t="shared" si="1"/>
        <v>'' AS [31 – Semanal – 1ª Semana],</v>
      </c>
    </row>
    <row r="10" spans="1:10" x14ac:dyDescent="0.25">
      <c r="B10" t="s">
        <v>7</v>
      </c>
      <c r="D10" t="s">
        <v>7</v>
      </c>
      <c r="E10" t="s">
        <v>304</v>
      </c>
      <c r="F10" t="str">
        <f t="shared" si="0"/>
        <v>[32 – Semanal – Semanas Intermediárias]</v>
      </c>
      <c r="J10" t="str">
        <f t="shared" si="1"/>
        <v>'' AS [32 – Semanal – Semanas Intermediárias],</v>
      </c>
    </row>
    <row r="11" spans="1:10" x14ac:dyDescent="0.25">
      <c r="B11" t="s">
        <v>7</v>
      </c>
      <c r="D11" t="s">
        <v>7</v>
      </c>
      <c r="E11" t="s">
        <v>305</v>
      </c>
      <c r="F11" t="str">
        <f t="shared" si="0"/>
        <v>[33 – Semanal – Última Semana]</v>
      </c>
      <c r="J11" t="str">
        <f t="shared" si="1"/>
        <v>'' AS [33 – Semanal – Última Semana],</v>
      </c>
    </row>
    <row r="12" spans="1:10" x14ac:dyDescent="0.25">
      <c r="B12" t="s">
        <v>7</v>
      </c>
      <c r="D12" t="s">
        <v>7</v>
      </c>
      <c r="E12" t="s">
        <v>306</v>
      </c>
      <c r="F12" t="str">
        <f t="shared" si="0"/>
        <v>[41 – Adiantamento Quinzenal]</v>
      </c>
      <c r="J12" t="str">
        <f t="shared" si="1"/>
        <v>'' AS [41 – Adiantamento Quinzenal],</v>
      </c>
    </row>
    <row r="13" spans="1:10" x14ac:dyDescent="0.25">
      <c r="B13" t="s">
        <v>7</v>
      </c>
      <c r="D13" t="s">
        <v>7</v>
      </c>
      <c r="E13" t="s">
        <v>307</v>
      </c>
      <c r="F13" t="str">
        <f t="shared" si="0"/>
        <v>[51 – 13° Salário – Antecipação]</v>
      </c>
      <c r="J13" t="str">
        <f t="shared" si="1"/>
        <v>'' AS [51 – 13° Salário – Antecipação],</v>
      </c>
    </row>
    <row r="14" spans="1:10" x14ac:dyDescent="0.25">
      <c r="B14" t="s">
        <v>7</v>
      </c>
      <c r="D14" t="s">
        <v>7</v>
      </c>
      <c r="E14" t="s">
        <v>308</v>
      </c>
      <c r="F14" t="str">
        <f t="shared" si="0"/>
        <v>[52 – 13° Salário - Complementação]</v>
      </c>
      <c r="J14" t="str">
        <f t="shared" si="1"/>
        <v>'' AS [52 – 13° Salário - Complementação],</v>
      </c>
    </row>
    <row r="15" spans="1:10" x14ac:dyDescent="0.25">
      <c r="B15" t="s">
        <v>7</v>
      </c>
      <c r="D15" t="s">
        <v>7</v>
      </c>
      <c r="E15" t="s">
        <v>309</v>
      </c>
      <c r="F15" t="str">
        <f t="shared" si="0"/>
        <v>[61 – Suplementar]</v>
      </c>
      <c r="J15" t="str">
        <f t="shared" si="1"/>
        <v>'' AS [61 – Suplementar],</v>
      </c>
    </row>
    <row r="16" spans="1:10" x14ac:dyDescent="0.25">
      <c r="B16" t="s">
        <v>7</v>
      </c>
      <c r="D16" t="s">
        <v>7</v>
      </c>
      <c r="E16" t="s">
        <v>310</v>
      </c>
      <c r="F16" t="str">
        <f t="shared" si="0"/>
        <v>[71 – Avulsa]</v>
      </c>
      <c r="J16" t="str">
        <f t="shared" si="1"/>
        <v>'' AS [71 – Avulsa],</v>
      </c>
    </row>
    <row r="17" spans="1:10" x14ac:dyDescent="0.25">
      <c r="B17" t="s">
        <v>7</v>
      </c>
      <c r="D17" t="s">
        <v>7</v>
      </c>
      <c r="E17" t="s">
        <v>311</v>
      </c>
      <c r="F17" t="str">
        <f t="shared" si="0"/>
        <v>[81 – Recibos de Férias]</v>
      </c>
      <c r="J17" t="str">
        <f t="shared" si="1"/>
        <v>'' AS [81 – Recibos de Férias],</v>
      </c>
    </row>
    <row r="18" spans="1:10" x14ac:dyDescent="0.25">
      <c r="B18" t="s">
        <v>7</v>
      </c>
      <c r="D18" t="s">
        <v>7</v>
      </c>
      <c r="E18" t="s">
        <v>312</v>
      </c>
      <c r="F18" t="str">
        <f t="shared" si="0"/>
        <v>[91 – Rescisão de Contrato]</v>
      </c>
      <c r="J18" t="str">
        <f t="shared" si="1"/>
        <v>'' AS [91 – Rescisão de Contrato],</v>
      </c>
    </row>
    <row r="19" spans="1:10" x14ac:dyDescent="0.25">
      <c r="B19" t="s">
        <v>7</v>
      </c>
      <c r="D19" t="s">
        <v>7</v>
      </c>
      <c r="E19" t="s">
        <v>313</v>
      </c>
      <c r="F19" t="str">
        <f t="shared" si="0"/>
        <v>[92 – Rescisão Complementar]</v>
      </c>
      <c r="J19" t="str">
        <f t="shared" si="1"/>
        <v>'' AS [92 – Rescisão Complementar],</v>
      </c>
    </row>
    <row r="20" spans="1:10" x14ac:dyDescent="0.25">
      <c r="A20">
        <v>5</v>
      </c>
      <c r="B20" t="s">
        <v>17</v>
      </c>
      <c r="D20" t="s">
        <v>8</v>
      </c>
      <c r="E20" t="s">
        <v>314</v>
      </c>
      <c r="F20" t="str">
        <f t="shared" si="0"/>
        <v>[Código do VDB]</v>
      </c>
      <c r="J20" t="str">
        <f t="shared" si="1"/>
        <v>'' AS [Código do VDB],</v>
      </c>
    </row>
    <row r="21" spans="1:10" x14ac:dyDescent="0.25">
      <c r="A21">
        <v>8</v>
      </c>
      <c r="B21" t="s">
        <v>2</v>
      </c>
      <c r="D21" t="s">
        <v>8</v>
      </c>
      <c r="E21" t="s">
        <v>315</v>
      </c>
      <c r="F21" t="str">
        <f t="shared" si="0"/>
        <v>[Data de Pagamento da Folha de Pagamento]</v>
      </c>
      <c r="J21" t="str">
        <f t="shared" si="1"/>
        <v>'' AS [Data de Pagamento da Folha de Pagamento],</v>
      </c>
    </row>
    <row r="22" spans="1:10" x14ac:dyDescent="0.25">
      <c r="A22">
        <v>1</v>
      </c>
      <c r="B22" t="s">
        <v>6</v>
      </c>
      <c r="D22" t="s">
        <v>8</v>
      </c>
      <c r="E22" t="s">
        <v>850</v>
      </c>
      <c r="F22" t="str">
        <f t="shared" si="0"/>
        <v>[Tipo de Informação]</v>
      </c>
      <c r="J22" t="str">
        <f t="shared" si="1"/>
        <v>'' AS [Tipo de Informação],</v>
      </c>
    </row>
    <row r="23" spans="1:10" x14ac:dyDescent="0.25">
      <c r="B23" t="s">
        <v>7</v>
      </c>
      <c r="D23" t="s">
        <v>7</v>
      </c>
      <c r="E23" t="s">
        <v>316</v>
      </c>
      <c r="F23" t="str">
        <f t="shared" si="0"/>
        <v>[0 – Só Valor]</v>
      </c>
      <c r="J23" t="str">
        <f t="shared" si="1"/>
        <v>'' AS [0 – Só Valor],</v>
      </c>
    </row>
    <row r="24" spans="1:10" x14ac:dyDescent="0.25">
      <c r="B24" t="s">
        <v>7</v>
      </c>
      <c r="D24" t="s">
        <v>7</v>
      </c>
      <c r="E24" t="s">
        <v>317</v>
      </c>
      <c r="F24" t="str">
        <f t="shared" si="0"/>
        <v>[1 – Horas e Valor]</v>
      </c>
      <c r="J24" t="str">
        <f t="shared" si="1"/>
        <v>'' AS [1 – Horas e Valor],</v>
      </c>
    </row>
    <row r="25" spans="1:10" x14ac:dyDescent="0.25">
      <c r="B25" t="s">
        <v>7</v>
      </c>
      <c r="D25" t="s">
        <v>7</v>
      </c>
      <c r="E25" t="s">
        <v>318</v>
      </c>
      <c r="F25" t="str">
        <f t="shared" si="0"/>
        <v>[2 – Dias e Valor]</v>
      </c>
      <c r="J25" t="str">
        <f t="shared" si="1"/>
        <v>'' AS [2 – Dias e Valor],</v>
      </c>
    </row>
    <row r="26" spans="1:10" x14ac:dyDescent="0.25">
      <c r="B26" t="s">
        <v>7</v>
      </c>
      <c r="D26" t="s">
        <v>7</v>
      </c>
      <c r="E26" t="s">
        <v>319</v>
      </c>
      <c r="F26" t="str">
        <f t="shared" si="0"/>
        <v>[3 – Quantidade de Tarefas e Valor]</v>
      </c>
      <c r="J26" t="str">
        <f t="shared" si="1"/>
        <v>'' AS [3 – Quantidade de Tarefas e Valor],</v>
      </c>
    </row>
    <row r="27" spans="1:10" x14ac:dyDescent="0.25">
      <c r="A27">
        <v>11</v>
      </c>
      <c r="B27" t="s">
        <v>17</v>
      </c>
      <c r="C27">
        <v>2</v>
      </c>
      <c r="D27" t="s">
        <v>32</v>
      </c>
      <c r="E27" t="s">
        <v>854</v>
      </c>
      <c r="F27" t="str">
        <f t="shared" si="0"/>
        <v>[Horas, Dias ou Quantidade, cfe. Tipo de Informação. Zeros quando o Tipo de Informação for “0”.]</v>
      </c>
      <c r="J27" t="str">
        <f t="shared" si="1"/>
        <v>'' AS [Horas, Dias ou Quantidade, cfe. Tipo de Informação. Zeros quando o Tipo de Informação for “0”.],</v>
      </c>
    </row>
    <row r="28" spans="1:10" x14ac:dyDescent="0.25">
      <c r="A28">
        <v>15</v>
      </c>
      <c r="B28" t="s">
        <v>17</v>
      </c>
      <c r="C28">
        <v>2</v>
      </c>
      <c r="D28" t="s">
        <v>8</v>
      </c>
      <c r="E28" t="s">
        <v>320</v>
      </c>
      <c r="F28" t="str">
        <f t="shared" si="0"/>
        <v>[Valor]</v>
      </c>
      <c r="G28" t="s">
        <v>855</v>
      </c>
      <c r="H28" t="s">
        <v>848</v>
      </c>
      <c r="I28" t="s">
        <v>856</v>
      </c>
      <c r="J28" t="str">
        <f>"LEFT(CAST("&amp;H28&amp;"."&amp;I28&amp;" AS "&amp;G28&amp;"), "&amp;A28*1&amp;") AS "&amp;F28&amp;","</f>
        <v>LEFT(CAST(PFFINANC.VALOR AS DECIMAL), 15) AS [Valor],</v>
      </c>
    </row>
    <row r="29" spans="1:10" x14ac:dyDescent="0.25">
      <c r="A29">
        <v>30</v>
      </c>
      <c r="B29" t="s">
        <v>6</v>
      </c>
      <c r="D29" t="s">
        <v>32</v>
      </c>
      <c r="E29" t="s">
        <v>853</v>
      </c>
      <c r="F29" t="str">
        <f t="shared" si="0"/>
        <v>[Identificador atribuído pela fonte pagadora para o demonstrativo de valores devidos ao trabalhador, gerado no eSocial.]</v>
      </c>
      <c r="J29" t="str">
        <f t="shared" si="1"/>
        <v>'' AS [Identificador atribuído pela fonte pagadora para o demonstrativo de valores devidos ao trabalhador, gerado no eSocial.],</v>
      </c>
    </row>
    <row r="30" spans="1:10" x14ac:dyDescent="0.25">
      <c r="A30">
        <v>100</v>
      </c>
      <c r="B30" t="s">
        <v>6</v>
      </c>
      <c r="D30" t="s">
        <v>32</v>
      </c>
      <c r="E30" t="s">
        <v>852</v>
      </c>
      <c r="F30" t="str">
        <f t="shared" si="0"/>
        <v>[Número do recibo do arquivo que contém as informações da rescisão contratual que originou o pagamento, gerado no eSocial.]</v>
      </c>
      <c r="J30" t="str">
        <f t="shared" si="1"/>
        <v>'' AS [Número do recibo do arquivo que contém as informações da rescisão contratual que originou o pagamento, gerado no eSocial.],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sheetPr>
    <tabColor rgb="FFFFFF00"/>
  </sheetPr>
  <dimension ref="A1:J8"/>
  <sheetViews>
    <sheetView workbookViewId="0">
      <selection activeCell="E3" sqref="E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4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5</v>
      </c>
      <c r="B2" t="s">
        <v>17</v>
      </c>
      <c r="C2" t="s">
        <v>7</v>
      </c>
      <c r="D2" t="s">
        <v>8</v>
      </c>
      <c r="E2" t="s">
        <v>235</v>
      </c>
      <c r="F2" t="str">
        <f>"["&amp;E2&amp;"]"</f>
        <v>[Código do Vencimento, Desconto ou Base Metadados (Destino)]</v>
      </c>
      <c r="J2" t="str">
        <f t="shared" ref="J2" si="0">"'' AS "&amp;F2&amp;","</f>
        <v>'' AS [Código do Vencimento, Desconto ou Base Metadados (Destino)],</v>
      </c>
    </row>
    <row r="3" spans="1:10" x14ac:dyDescent="0.25">
      <c r="A3">
        <v>7</v>
      </c>
      <c r="B3" t="s">
        <v>6</v>
      </c>
      <c r="C3" t="s">
        <v>7</v>
      </c>
      <c r="D3" t="s">
        <v>8</v>
      </c>
      <c r="E3" t="s">
        <v>236</v>
      </c>
      <c r="F3" t="str">
        <f t="shared" ref="F3:F8" si="1">"["&amp;E3&amp;"]"</f>
        <v>[Código do Vencimento, Desconto ou Base do sistema de Origem]</v>
      </c>
      <c r="G3" t="s">
        <v>328</v>
      </c>
      <c r="H3" t="s">
        <v>846</v>
      </c>
      <c r="I3" t="s">
        <v>325</v>
      </c>
      <c r="J3" t="str">
        <f>"LEFT(CAST("&amp;H3&amp;"."&amp;I3&amp;" AS "&amp;G3&amp;"), "&amp;A3*1&amp;") AS "&amp;F3&amp;","</f>
        <v>LEFT(CAST(PEVENTO.CODIGO AS VARCHAR), 7) AS [Código do Vencimento, Desconto ou Base do sistema de Origem],</v>
      </c>
    </row>
    <row r="4" spans="1:10" x14ac:dyDescent="0.25">
      <c r="A4">
        <v>30</v>
      </c>
      <c r="B4" t="s">
        <v>6</v>
      </c>
      <c r="C4" t="s">
        <v>7</v>
      </c>
      <c r="D4" t="s">
        <v>8</v>
      </c>
      <c r="E4" t="s">
        <v>237</v>
      </c>
      <c r="F4" t="str">
        <f t="shared" si="1"/>
        <v>[Descrição do VDB]</v>
      </c>
      <c r="G4" t="s">
        <v>328</v>
      </c>
      <c r="H4" t="s">
        <v>846</v>
      </c>
      <c r="I4" t="s">
        <v>329</v>
      </c>
      <c r="J4" t="str">
        <f>"LEFT(CAST("&amp;H4&amp;"."&amp;I4&amp;" AS "&amp;G4&amp;"), "&amp;A4*1&amp;") AS "&amp;F4&amp;","</f>
        <v>LEFT(CAST(PEVENTO.DESCRICAO AS VARCHAR), 30) AS [Descrição do VDB],</v>
      </c>
    </row>
    <row r="5" spans="1:10" x14ac:dyDescent="0.25">
      <c r="A5">
        <v>1</v>
      </c>
      <c r="B5" t="s">
        <v>6</v>
      </c>
      <c r="C5" t="s">
        <v>7</v>
      </c>
      <c r="D5" t="s">
        <v>8</v>
      </c>
      <c r="E5" t="s">
        <v>845</v>
      </c>
      <c r="F5" t="str">
        <f t="shared" si="1"/>
        <v>[Tipo do VDB]</v>
      </c>
      <c r="J5" t="str">
        <f t="shared" ref="J5" si="2">"'' AS "&amp;F5&amp;","</f>
        <v>'' AS [Tipo do VDB],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238</v>
      </c>
      <c r="F6" t="str">
        <f t="shared" si="1"/>
        <v>[V – Vencimento]</v>
      </c>
    </row>
    <row r="7" spans="1:10" hidden="1" x14ac:dyDescent="0.25">
      <c r="B7" t="s">
        <v>7</v>
      </c>
      <c r="C7" t="s">
        <v>7</v>
      </c>
      <c r="D7" t="s">
        <v>7</v>
      </c>
      <c r="E7" t="s">
        <v>239</v>
      </c>
      <c r="F7" t="str">
        <f t="shared" si="1"/>
        <v>[D – Desconto]</v>
      </c>
    </row>
    <row r="8" spans="1:10" hidden="1" x14ac:dyDescent="0.25">
      <c r="B8" t="s">
        <v>7</v>
      </c>
      <c r="C8" t="s">
        <v>7</v>
      </c>
      <c r="D8" t="s">
        <v>7</v>
      </c>
      <c r="E8" t="s">
        <v>240</v>
      </c>
      <c r="F8" t="str">
        <f t="shared" si="1"/>
        <v>[B – Base]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sheetPr>
    <tabColor rgb="FFFFFF00"/>
  </sheetPr>
  <dimension ref="A1:J36"/>
  <sheetViews>
    <sheetView workbookViewId="0">
      <selection activeCell="E52" sqref="E5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65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842</v>
      </c>
      <c r="I2" t="s">
        <v>783</v>
      </c>
      <c r="J2" t="str">
        <f>"LEFT(CAST("&amp;H2&amp;"."&amp;I2&amp;" AS "&amp;G2&amp;"), "&amp;A2*1&amp;") AS "&amp;F2&amp;","</f>
        <v>LEFT(CAST(PFHSTAFT.CODCOLIGADA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" si="0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203</v>
      </c>
      <c r="F4" t="str">
        <f>"["&amp;E4&amp;"]"</f>
        <v>[Data de Início da Ocorrência]</v>
      </c>
      <c r="G4" t="s">
        <v>336</v>
      </c>
      <c r="H4" t="s">
        <v>842</v>
      </c>
      <c r="I4" t="s">
        <v>803</v>
      </c>
      <c r="J4" t="str">
        <f>"FORMAT("&amp;H4&amp;"."&amp;I4&amp;", 'ddMMyyyy') AS "&amp;F4&amp;","</f>
        <v>FORMAT(PFHSTAFT.DTMUDANCA, 'ddMMyyyy') AS [Data de Início da Ocorrência],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744</v>
      </c>
      <c r="F5" t="str">
        <f>"["&amp;E5&amp;"]"</f>
        <v>[Ocorrência]</v>
      </c>
      <c r="G5" t="s">
        <v>328</v>
      </c>
      <c r="H5" t="s">
        <v>842</v>
      </c>
      <c r="I5" t="s">
        <v>843</v>
      </c>
      <c r="J5" t="str">
        <f>"LEFT(CAST("&amp;H5&amp;"."&amp;I5&amp;" AS "&amp;G5&amp;"), "&amp;A5*1&amp;") AS "&amp;F5&amp;","</f>
        <v>LEFT(CAST(PFHSTAFT.MOTIVO AS VARCHAR), 4) AS [Ocorrência],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204</v>
      </c>
      <c r="J6" t="str">
        <f t="shared" ref="J6:J35" si="1">"'' AS "&amp;F6&amp;","</f>
        <v>'' AS ,</v>
      </c>
    </row>
    <row r="7" spans="1:10" hidden="1" x14ac:dyDescent="0.25">
      <c r="B7" t="s">
        <v>7</v>
      </c>
      <c r="C7" t="s">
        <v>7</v>
      </c>
      <c r="D7" t="s">
        <v>7</v>
      </c>
      <c r="E7" t="s">
        <v>205</v>
      </c>
      <c r="J7" t="str">
        <f t="shared" si="1"/>
        <v>'' AS ,</v>
      </c>
    </row>
    <row r="8" spans="1:10" hidden="1" x14ac:dyDescent="0.25">
      <c r="B8" t="s">
        <v>7</v>
      </c>
      <c r="C8" t="s">
        <v>7</v>
      </c>
      <c r="D8" t="s">
        <v>7</v>
      </c>
      <c r="E8" t="s">
        <v>206</v>
      </c>
      <c r="J8" t="str">
        <f t="shared" si="1"/>
        <v>'' AS ,</v>
      </c>
    </row>
    <row r="9" spans="1:10" hidden="1" x14ac:dyDescent="0.25">
      <c r="B9" t="s">
        <v>7</v>
      </c>
      <c r="C9" t="s">
        <v>7</v>
      </c>
      <c r="D9" t="s">
        <v>7</v>
      </c>
      <c r="E9" t="s">
        <v>207</v>
      </c>
      <c r="J9" t="str">
        <f t="shared" si="1"/>
        <v>'' AS 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208</v>
      </c>
      <c r="J10" t="str">
        <f t="shared" si="1"/>
        <v>'' AS ,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209</v>
      </c>
      <c r="J11" t="str">
        <f t="shared" si="1"/>
        <v>'' AS ,</v>
      </c>
    </row>
    <row r="12" spans="1:10" hidden="1" x14ac:dyDescent="0.25">
      <c r="B12" t="s">
        <v>7</v>
      </c>
      <c r="C12" t="s">
        <v>7</v>
      </c>
      <c r="D12" t="s">
        <v>7</v>
      </c>
      <c r="E12" t="s">
        <v>210</v>
      </c>
      <c r="J12" t="str">
        <f t="shared" si="1"/>
        <v>'' AS 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211</v>
      </c>
      <c r="J13" t="str">
        <f t="shared" si="1"/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212</v>
      </c>
      <c r="J14" t="str">
        <f t="shared" si="1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213</v>
      </c>
      <c r="J15" t="str">
        <f t="shared" si="1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214</v>
      </c>
      <c r="J16" t="str">
        <f t="shared" si="1"/>
        <v>'' AS ,</v>
      </c>
    </row>
    <row r="17" spans="2:10" hidden="1" x14ac:dyDescent="0.25">
      <c r="B17" t="s">
        <v>7</v>
      </c>
      <c r="C17" t="s">
        <v>7</v>
      </c>
      <c r="D17" t="s">
        <v>7</v>
      </c>
      <c r="E17" t="s">
        <v>215</v>
      </c>
      <c r="J17" t="str">
        <f t="shared" si="1"/>
        <v>'' AS ,</v>
      </c>
    </row>
    <row r="18" spans="2:10" hidden="1" x14ac:dyDescent="0.25">
      <c r="B18" t="s">
        <v>7</v>
      </c>
      <c r="C18" t="s">
        <v>7</v>
      </c>
      <c r="D18" t="s">
        <v>7</v>
      </c>
      <c r="E18" t="s">
        <v>216</v>
      </c>
      <c r="J18" t="str">
        <f t="shared" si="1"/>
        <v>'' AS ,</v>
      </c>
    </row>
    <row r="19" spans="2:10" hidden="1" x14ac:dyDescent="0.25">
      <c r="B19" t="s">
        <v>7</v>
      </c>
      <c r="C19" t="s">
        <v>7</v>
      </c>
      <c r="D19" t="s">
        <v>7</v>
      </c>
      <c r="E19" t="s">
        <v>217</v>
      </c>
      <c r="J19" t="str">
        <f t="shared" si="1"/>
        <v>'' AS ,</v>
      </c>
    </row>
    <row r="20" spans="2:10" hidden="1" x14ac:dyDescent="0.25">
      <c r="B20" t="s">
        <v>7</v>
      </c>
      <c r="C20" t="s">
        <v>7</v>
      </c>
      <c r="D20" t="s">
        <v>7</v>
      </c>
      <c r="E20" t="s">
        <v>218</v>
      </c>
      <c r="J20" t="str">
        <f t="shared" si="1"/>
        <v>'' AS ,</v>
      </c>
    </row>
    <row r="21" spans="2:10" hidden="1" x14ac:dyDescent="0.25">
      <c r="B21" t="s">
        <v>7</v>
      </c>
      <c r="C21" t="s">
        <v>7</v>
      </c>
      <c r="D21" t="s">
        <v>7</v>
      </c>
      <c r="E21" t="s">
        <v>219</v>
      </c>
      <c r="J21" t="str">
        <f t="shared" si="1"/>
        <v>'' AS ,</v>
      </c>
    </row>
    <row r="22" spans="2:10" hidden="1" x14ac:dyDescent="0.25">
      <c r="B22" t="s">
        <v>7</v>
      </c>
      <c r="C22" t="s">
        <v>7</v>
      </c>
      <c r="D22" t="s">
        <v>7</v>
      </c>
      <c r="E22" t="s">
        <v>220</v>
      </c>
      <c r="J22" t="str">
        <f t="shared" si="1"/>
        <v>'' AS ,</v>
      </c>
    </row>
    <row r="23" spans="2:10" hidden="1" x14ac:dyDescent="0.25">
      <c r="B23" t="s">
        <v>7</v>
      </c>
      <c r="C23" t="s">
        <v>7</v>
      </c>
      <c r="D23" t="s">
        <v>7</v>
      </c>
      <c r="E23" t="s">
        <v>221</v>
      </c>
      <c r="J23" t="str">
        <f t="shared" si="1"/>
        <v>'' AS ,</v>
      </c>
    </row>
    <row r="24" spans="2:10" hidden="1" x14ac:dyDescent="0.25">
      <c r="B24" t="s">
        <v>7</v>
      </c>
      <c r="C24" t="s">
        <v>7</v>
      </c>
      <c r="D24" t="s">
        <v>7</v>
      </c>
      <c r="E24" t="s">
        <v>222</v>
      </c>
      <c r="J24" t="str">
        <f t="shared" si="1"/>
        <v>'' AS ,</v>
      </c>
    </row>
    <row r="25" spans="2:10" hidden="1" x14ac:dyDescent="0.25">
      <c r="B25" t="s">
        <v>7</v>
      </c>
      <c r="C25" t="s">
        <v>7</v>
      </c>
      <c r="D25" t="s">
        <v>7</v>
      </c>
      <c r="E25" t="s">
        <v>223</v>
      </c>
      <c r="J25" t="str">
        <f t="shared" si="1"/>
        <v>'' AS ,</v>
      </c>
    </row>
    <row r="26" spans="2:10" hidden="1" x14ac:dyDescent="0.25">
      <c r="B26" t="s">
        <v>7</v>
      </c>
      <c r="C26" t="s">
        <v>7</v>
      </c>
      <c r="D26" t="s">
        <v>7</v>
      </c>
      <c r="E26" t="s">
        <v>224</v>
      </c>
      <c r="J26" t="str">
        <f t="shared" si="1"/>
        <v>'' AS ,</v>
      </c>
    </row>
    <row r="27" spans="2:10" hidden="1" x14ac:dyDescent="0.25">
      <c r="B27" t="s">
        <v>7</v>
      </c>
      <c r="C27" t="s">
        <v>7</v>
      </c>
      <c r="D27" t="s">
        <v>7</v>
      </c>
      <c r="E27" t="s">
        <v>225</v>
      </c>
      <c r="J27" t="str">
        <f t="shared" si="1"/>
        <v>'' AS ,</v>
      </c>
    </row>
    <row r="28" spans="2:10" hidden="1" x14ac:dyDescent="0.25">
      <c r="B28" t="s">
        <v>7</v>
      </c>
      <c r="C28" t="s">
        <v>7</v>
      </c>
      <c r="D28" t="s">
        <v>7</v>
      </c>
      <c r="E28" t="s">
        <v>226</v>
      </c>
      <c r="J28" t="str">
        <f t="shared" si="1"/>
        <v>'' AS ,</v>
      </c>
    </row>
    <row r="29" spans="2:10" hidden="1" x14ac:dyDescent="0.25">
      <c r="B29" t="s">
        <v>7</v>
      </c>
      <c r="C29" t="s">
        <v>7</v>
      </c>
      <c r="D29" t="s">
        <v>7</v>
      </c>
      <c r="E29" t="s">
        <v>227</v>
      </c>
      <c r="J29" t="str">
        <f t="shared" si="1"/>
        <v>'' AS ,</v>
      </c>
    </row>
    <row r="30" spans="2:10" hidden="1" x14ac:dyDescent="0.25">
      <c r="B30" t="s">
        <v>7</v>
      </c>
      <c r="C30" t="s">
        <v>7</v>
      </c>
      <c r="D30" t="s">
        <v>7</v>
      </c>
      <c r="E30" t="s">
        <v>228</v>
      </c>
      <c r="J30" t="str">
        <f t="shared" si="1"/>
        <v>'' AS ,</v>
      </c>
    </row>
    <row r="31" spans="2:10" hidden="1" x14ac:dyDescent="0.25">
      <c r="B31" t="s">
        <v>7</v>
      </c>
      <c r="C31" t="s">
        <v>7</v>
      </c>
      <c r="D31" t="s">
        <v>7</v>
      </c>
      <c r="E31" t="s">
        <v>229</v>
      </c>
      <c r="J31" t="str">
        <f t="shared" si="1"/>
        <v>'' AS ,</v>
      </c>
    </row>
    <row r="32" spans="2:10" hidden="1" x14ac:dyDescent="0.25">
      <c r="B32" t="s">
        <v>7</v>
      </c>
      <c r="C32" t="s">
        <v>7</v>
      </c>
      <c r="D32" t="s">
        <v>7</v>
      </c>
      <c r="E32" t="s">
        <v>230</v>
      </c>
      <c r="J32" t="str">
        <f t="shared" si="1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231</v>
      </c>
      <c r="J33" t="str">
        <f t="shared" si="1"/>
        <v>'' AS ,</v>
      </c>
    </row>
    <row r="34" spans="1:10" x14ac:dyDescent="0.25">
      <c r="A34">
        <v>8</v>
      </c>
      <c r="B34" t="s">
        <v>2</v>
      </c>
      <c r="C34" t="s">
        <v>7</v>
      </c>
      <c r="D34" t="s">
        <v>32</v>
      </c>
      <c r="E34" t="s">
        <v>232</v>
      </c>
      <c r="F34" t="str">
        <f>"["&amp;E34&amp;"]"</f>
        <v>[Data de Término da Ocorrência]</v>
      </c>
      <c r="J34" t="str">
        <f t="shared" si="1"/>
        <v>'' AS [Data de Término da Ocorrência],</v>
      </c>
    </row>
    <row r="35" spans="1:10" x14ac:dyDescent="0.25">
      <c r="A35">
        <v>6</v>
      </c>
      <c r="B35" t="s">
        <v>6</v>
      </c>
      <c r="C35" t="s">
        <v>7</v>
      </c>
      <c r="D35" t="s">
        <v>32</v>
      </c>
      <c r="E35" t="s">
        <v>233</v>
      </c>
      <c r="F35" t="str">
        <f>"["&amp;E35&amp;"]"</f>
        <v>[Horas da ocorrência quando for somente um dia (Formato: HHH:MM)]</v>
      </c>
      <c r="J35" t="str">
        <f t="shared" si="1"/>
        <v>'' AS [Horas da ocorrência quando for somente um dia (Formato: HHH:MM)],</v>
      </c>
    </row>
    <row r="36" spans="1:10" x14ac:dyDescent="0.25">
      <c r="A36">
        <v>1000</v>
      </c>
      <c r="B36" t="s">
        <v>6</v>
      </c>
      <c r="C36" t="s">
        <v>7</v>
      </c>
      <c r="D36" t="s">
        <v>32</v>
      </c>
      <c r="E36" t="s">
        <v>234</v>
      </c>
      <c r="F36" t="str">
        <f>"["&amp;E36&amp;"]"</f>
        <v>[Texto da Ocorrência]</v>
      </c>
      <c r="G36" t="s">
        <v>328</v>
      </c>
      <c r="H36" t="s">
        <v>842</v>
      </c>
      <c r="I36" t="s">
        <v>844</v>
      </c>
      <c r="J36" t="str">
        <f>"LEFT(CAST("&amp;H36&amp;"."&amp;I36&amp;" AS "&amp;G36&amp;"), "&amp;A36*1&amp;") AS "&amp;F36&amp;","</f>
        <v>LEFT(CAST(PFHSTAFT.OBSERVAÇÃO AS VARCHAR), 1000) AS [Texto da Ocorrência],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sheetPr>
    <tabColor rgb="FFFFFF00"/>
  </sheetPr>
  <dimension ref="A1:J88"/>
  <sheetViews>
    <sheetView workbookViewId="0">
      <selection activeCell="K2" sqref="K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4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379</v>
      </c>
      <c r="I2" t="s">
        <v>783</v>
      </c>
      <c r="J2" t="str">
        <f t="shared" ref="J2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66" si="1">"["&amp;E3&amp;"]"</f>
        <v>[Código da Pessoa]</v>
      </c>
      <c r="G3" t="s">
        <v>335</v>
      </c>
      <c r="H3" t="s">
        <v>809</v>
      </c>
      <c r="I3" t="s">
        <v>325</v>
      </c>
      <c r="J3" t="str">
        <f t="shared" ref="J3:J39" si="2">"LEFT(CAST("&amp;H3&amp;"."&amp;I3&amp;" AS "&amp;G3&amp;"), "&amp;A3*1&amp;") AS "&amp;F3&amp;","</f>
        <v>LEFT(CAST(PPESSOA.CODIGO AS INTEGER), 8) AS [Código da Pessoa],</v>
      </c>
    </row>
    <row r="4" spans="1:10" x14ac:dyDescent="0.25">
      <c r="A4">
        <v>40</v>
      </c>
      <c r="B4" t="s">
        <v>6</v>
      </c>
      <c r="C4" t="s">
        <v>7</v>
      </c>
      <c r="D4" t="s">
        <v>8</v>
      </c>
      <c r="E4" t="s">
        <v>122</v>
      </c>
      <c r="F4" t="str">
        <f t="shared" si="1"/>
        <v>[Nome da Pessoa]</v>
      </c>
      <c r="G4" t="s">
        <v>328</v>
      </c>
      <c r="H4" t="s">
        <v>809</v>
      </c>
      <c r="I4" t="s">
        <v>331</v>
      </c>
      <c r="J4" t="str">
        <f t="shared" si="2"/>
        <v>LEFT(CAST(PPESSOA.NOME AS VARCHAR), 40) AS [Nome da Pessoa],</v>
      </c>
    </row>
    <row r="5" spans="1:10" x14ac:dyDescent="0.25">
      <c r="A5">
        <v>40</v>
      </c>
      <c r="B5" t="s">
        <v>6</v>
      </c>
      <c r="C5" t="s">
        <v>7</v>
      </c>
      <c r="D5" t="s">
        <v>32</v>
      </c>
      <c r="E5" t="s">
        <v>123</v>
      </c>
      <c r="F5" t="str">
        <f t="shared" si="1"/>
        <v>[Nome do Pai]</v>
      </c>
      <c r="J5" t="str">
        <f t="shared" ref="J5:J68" si="3">"'' AS "&amp;F5&amp;","</f>
        <v>'' AS [Nome do Pai],</v>
      </c>
    </row>
    <row r="6" spans="1:10" x14ac:dyDescent="0.25">
      <c r="A6">
        <v>40</v>
      </c>
      <c r="B6" t="s">
        <v>6</v>
      </c>
      <c r="C6" t="s">
        <v>7</v>
      </c>
      <c r="D6" t="s">
        <v>32</v>
      </c>
      <c r="E6" t="s">
        <v>124</v>
      </c>
      <c r="F6" t="str">
        <f t="shared" si="1"/>
        <v>[Nome da Mãe]</v>
      </c>
      <c r="J6" t="str">
        <f t="shared" si="3"/>
        <v>'' AS [Nome da Mãe],</v>
      </c>
    </row>
    <row r="7" spans="1:10" x14ac:dyDescent="0.25">
      <c r="A7">
        <v>8</v>
      </c>
      <c r="B7" t="s">
        <v>2</v>
      </c>
      <c r="C7" t="s">
        <v>7</v>
      </c>
      <c r="D7" t="s">
        <v>8</v>
      </c>
      <c r="E7" t="s">
        <v>125</v>
      </c>
      <c r="F7" t="str">
        <f t="shared" si="1"/>
        <v>[Data de Nascimento]</v>
      </c>
      <c r="G7" t="s">
        <v>336</v>
      </c>
      <c r="H7" t="s">
        <v>809</v>
      </c>
      <c r="I7" t="s">
        <v>787</v>
      </c>
      <c r="J7" t="str">
        <f t="shared" si="2"/>
        <v>LEFT(CAST(PPESSOA.DTNASCIMENTO AS DATE), 8) AS [Data de Nascimento],</v>
      </c>
    </row>
    <row r="8" spans="1:10" x14ac:dyDescent="0.25">
      <c r="A8">
        <v>20</v>
      </c>
      <c r="B8" t="s">
        <v>6</v>
      </c>
      <c r="C8" t="s">
        <v>7</v>
      </c>
      <c r="D8" t="s">
        <v>32</v>
      </c>
      <c r="E8" t="s">
        <v>126</v>
      </c>
      <c r="F8" t="str">
        <f t="shared" si="1"/>
        <v>[Local do Nascimento]</v>
      </c>
      <c r="G8" t="s">
        <v>328</v>
      </c>
      <c r="H8" t="s">
        <v>809</v>
      </c>
      <c r="I8" t="s">
        <v>811</v>
      </c>
      <c r="J8" t="str">
        <f t="shared" si="2"/>
        <v>LEFT(CAST(PPESSOA.MUNICIPIO AS VARCHAR), 20) AS [Local do Nascimento],</v>
      </c>
    </row>
    <row r="9" spans="1:10" x14ac:dyDescent="0.25">
      <c r="A9">
        <v>2</v>
      </c>
      <c r="B9" t="s">
        <v>6</v>
      </c>
      <c r="C9" t="s">
        <v>7</v>
      </c>
      <c r="D9" t="s">
        <v>32</v>
      </c>
      <c r="E9" t="s">
        <v>127</v>
      </c>
      <c r="F9" t="str">
        <f t="shared" si="1"/>
        <v>[UF do Nascimento]</v>
      </c>
      <c r="G9" t="s">
        <v>328</v>
      </c>
      <c r="H9" t="s">
        <v>809</v>
      </c>
      <c r="I9" t="s">
        <v>149</v>
      </c>
      <c r="J9" t="str">
        <f t="shared" si="2"/>
        <v>LEFT(CAST(PPESSOA.UF AS VARCHAR), 2) AS [UF do Nascimento],</v>
      </c>
    </row>
    <row r="10" spans="1:10" x14ac:dyDescent="0.25">
      <c r="A10">
        <v>1</v>
      </c>
      <c r="B10" t="s">
        <v>6</v>
      </c>
      <c r="C10" t="s">
        <v>7</v>
      </c>
      <c r="D10" t="s">
        <v>8</v>
      </c>
      <c r="E10" t="s">
        <v>495</v>
      </c>
      <c r="F10" t="str">
        <f t="shared" si="1"/>
        <v>[Sexo]</v>
      </c>
      <c r="G10" t="s">
        <v>328</v>
      </c>
      <c r="H10" t="s">
        <v>809</v>
      </c>
      <c r="I10" t="s">
        <v>788</v>
      </c>
      <c r="J10" t="str">
        <f t="shared" si="2"/>
        <v>LEFT(CAST(PPESSOA.SEXO AS VARCHAR), 1) AS [Sexo],</v>
      </c>
    </row>
    <row r="11" spans="1:10" x14ac:dyDescent="0.25">
      <c r="B11" t="s">
        <v>7</v>
      </c>
      <c r="C11" t="s">
        <v>7</v>
      </c>
      <c r="D11" t="s">
        <v>7</v>
      </c>
      <c r="E11" t="s">
        <v>129</v>
      </c>
      <c r="F11" t="str">
        <f t="shared" si="1"/>
        <v>[M – Masculino]</v>
      </c>
      <c r="J11" t="str">
        <f t="shared" si="3"/>
        <v>'' AS [M – Masculino],</v>
      </c>
    </row>
    <row r="12" spans="1:10" x14ac:dyDescent="0.25">
      <c r="B12" t="s">
        <v>7</v>
      </c>
      <c r="C12" t="s">
        <v>7</v>
      </c>
      <c r="D12" t="s">
        <v>7</v>
      </c>
      <c r="E12" t="s">
        <v>130</v>
      </c>
      <c r="F12" t="str">
        <f t="shared" si="1"/>
        <v>[F – Feminino]</v>
      </c>
      <c r="J12" t="str">
        <f t="shared" si="3"/>
        <v>'' AS [F – Feminino],</v>
      </c>
    </row>
    <row r="13" spans="1:10" x14ac:dyDescent="0.25">
      <c r="A13">
        <v>1</v>
      </c>
      <c r="B13" t="s">
        <v>6</v>
      </c>
      <c r="C13" t="s">
        <v>7</v>
      </c>
      <c r="D13" t="s">
        <v>8</v>
      </c>
      <c r="E13" t="s">
        <v>543</v>
      </c>
      <c r="F13" t="str">
        <f t="shared" si="1"/>
        <v>[Raça/Cor]</v>
      </c>
      <c r="G13" t="s">
        <v>328</v>
      </c>
      <c r="H13" t="s">
        <v>809</v>
      </c>
      <c r="I13" t="s">
        <v>810</v>
      </c>
      <c r="J13" t="str">
        <f t="shared" si="2"/>
        <v>LEFT(CAST(PPESSOA.CORRACA AS VARCHAR), 1) AS [Raça/Cor],</v>
      </c>
    </row>
    <row r="14" spans="1:10" x14ac:dyDescent="0.25">
      <c r="B14" t="s">
        <v>7</v>
      </c>
      <c r="C14" t="s">
        <v>7</v>
      </c>
      <c r="D14" t="s">
        <v>7</v>
      </c>
      <c r="E14" t="s">
        <v>131</v>
      </c>
      <c r="F14" t="str">
        <f t="shared" si="1"/>
        <v>[1 – Indígena]</v>
      </c>
      <c r="J14" t="str">
        <f t="shared" si="3"/>
        <v>'' AS [1 – Indígena],</v>
      </c>
    </row>
    <row r="15" spans="1:10" x14ac:dyDescent="0.25">
      <c r="B15" t="s">
        <v>7</v>
      </c>
      <c r="C15" t="s">
        <v>7</v>
      </c>
      <c r="D15" t="s">
        <v>7</v>
      </c>
      <c r="E15" t="s">
        <v>132</v>
      </c>
      <c r="F15" t="str">
        <f t="shared" si="1"/>
        <v>[2 – Branca]</v>
      </c>
      <c r="J15" t="str">
        <f t="shared" si="3"/>
        <v>'' AS [2 – Branca],</v>
      </c>
    </row>
    <row r="16" spans="1:10" x14ac:dyDescent="0.25">
      <c r="B16" t="s">
        <v>7</v>
      </c>
      <c r="C16" t="s">
        <v>7</v>
      </c>
      <c r="D16" t="s">
        <v>7</v>
      </c>
      <c r="E16" t="s">
        <v>133</v>
      </c>
      <c r="F16" t="str">
        <f t="shared" si="1"/>
        <v>[4 – Preta]</v>
      </c>
      <c r="J16" t="str">
        <f t="shared" si="3"/>
        <v>'' AS [4 – Preta],</v>
      </c>
    </row>
    <row r="17" spans="1:10" x14ac:dyDescent="0.25">
      <c r="B17" t="s">
        <v>7</v>
      </c>
      <c r="C17" t="s">
        <v>7</v>
      </c>
      <c r="D17" t="s">
        <v>7</v>
      </c>
      <c r="E17" t="s">
        <v>134</v>
      </c>
      <c r="F17" t="str">
        <f t="shared" si="1"/>
        <v>[6 – Amarela]</v>
      </c>
      <c r="J17" t="str">
        <f t="shared" si="3"/>
        <v>'' AS [6 – Amarela],</v>
      </c>
    </row>
    <row r="18" spans="1:10" x14ac:dyDescent="0.25">
      <c r="B18" t="s">
        <v>7</v>
      </c>
      <c r="C18" t="s">
        <v>7</v>
      </c>
      <c r="D18" t="s">
        <v>7</v>
      </c>
      <c r="E18" t="s">
        <v>135</v>
      </c>
      <c r="F18" t="str">
        <f t="shared" si="1"/>
        <v>[8 – Parda]</v>
      </c>
      <c r="J18" t="str">
        <f t="shared" si="3"/>
        <v>'' AS [8 – Parda],</v>
      </c>
    </row>
    <row r="19" spans="1:10" x14ac:dyDescent="0.25">
      <c r="B19" t="s">
        <v>7</v>
      </c>
      <c r="C19" t="s">
        <v>7</v>
      </c>
      <c r="D19" t="s">
        <v>7</v>
      </c>
      <c r="E19" t="s">
        <v>136</v>
      </c>
      <c r="F19" t="str">
        <f t="shared" si="1"/>
        <v>[9 - Não Informada]</v>
      </c>
      <c r="J19" t="str">
        <f t="shared" si="3"/>
        <v>'' AS [9 - Não Informada],</v>
      </c>
    </row>
    <row r="20" spans="1:10" x14ac:dyDescent="0.25">
      <c r="A20">
        <v>1</v>
      </c>
      <c r="B20" t="s">
        <v>6</v>
      </c>
      <c r="C20" t="s">
        <v>7</v>
      </c>
      <c r="D20" t="s">
        <v>8</v>
      </c>
      <c r="E20" t="s">
        <v>550</v>
      </c>
      <c r="F20" t="str">
        <f t="shared" si="1"/>
        <v>[Deficiente Físico]</v>
      </c>
      <c r="J20" t="str">
        <f t="shared" si="3"/>
        <v>'' AS [Deficiente Físico],</v>
      </c>
    </row>
    <row r="21" spans="1:10" x14ac:dyDescent="0.25">
      <c r="B21" t="s">
        <v>7</v>
      </c>
      <c r="C21" t="s">
        <v>7</v>
      </c>
      <c r="D21" t="s">
        <v>7</v>
      </c>
      <c r="E21" t="s">
        <v>137</v>
      </c>
      <c r="F21" t="str">
        <f t="shared" si="1"/>
        <v>[0 – Não Deficiente]</v>
      </c>
      <c r="J21" t="str">
        <f t="shared" si="3"/>
        <v>'' AS [0 – Não Deficiente],</v>
      </c>
    </row>
    <row r="22" spans="1:10" x14ac:dyDescent="0.25">
      <c r="B22" t="s">
        <v>7</v>
      </c>
      <c r="C22" t="s">
        <v>7</v>
      </c>
      <c r="D22" t="s">
        <v>7</v>
      </c>
      <c r="E22" t="s">
        <v>138</v>
      </c>
      <c r="F22" t="str">
        <f t="shared" si="1"/>
        <v>[1 – Deficiente Físico]</v>
      </c>
      <c r="J22" t="str">
        <f t="shared" si="3"/>
        <v>'' AS [1 – Deficiente Físico],</v>
      </c>
    </row>
    <row r="23" spans="1:10" x14ac:dyDescent="0.25">
      <c r="B23" t="s">
        <v>7</v>
      </c>
      <c r="C23" t="s">
        <v>7</v>
      </c>
      <c r="D23" t="s">
        <v>7</v>
      </c>
      <c r="E23" t="s">
        <v>139</v>
      </c>
      <c r="F23" t="str">
        <f t="shared" si="1"/>
        <v>[2 – Deficiente Auditivo]</v>
      </c>
      <c r="J23" t="str">
        <f t="shared" si="3"/>
        <v>'' AS [2 – Deficiente Auditivo],</v>
      </c>
    </row>
    <row r="24" spans="1:10" x14ac:dyDescent="0.25">
      <c r="B24" t="s">
        <v>7</v>
      </c>
      <c r="C24" t="s">
        <v>7</v>
      </c>
      <c r="D24" t="s">
        <v>7</v>
      </c>
      <c r="E24" t="s">
        <v>140</v>
      </c>
      <c r="F24" t="str">
        <f t="shared" si="1"/>
        <v>[3 – Deficiente Visual]</v>
      </c>
      <c r="J24" t="str">
        <f t="shared" si="3"/>
        <v>'' AS [3 – Deficiente Visual],</v>
      </c>
    </row>
    <row r="25" spans="1:10" x14ac:dyDescent="0.25">
      <c r="B25" t="s">
        <v>7</v>
      </c>
      <c r="C25" t="s">
        <v>7</v>
      </c>
      <c r="D25" t="s">
        <v>7</v>
      </c>
      <c r="E25" t="s">
        <v>141</v>
      </c>
      <c r="F25" t="str">
        <f t="shared" si="1"/>
        <v>[4 – Deficiente Mental (Intelectual)]</v>
      </c>
      <c r="J25" t="str">
        <f t="shared" si="3"/>
        <v>'' AS [4 – Deficiente Mental (Intelectual)],</v>
      </c>
    </row>
    <row r="26" spans="1:10" x14ac:dyDescent="0.25">
      <c r="B26" t="s">
        <v>7</v>
      </c>
      <c r="C26" t="s">
        <v>7</v>
      </c>
      <c r="D26" t="s">
        <v>7</v>
      </c>
      <c r="E26" t="s">
        <v>142</v>
      </c>
      <c r="F26" t="str">
        <f t="shared" si="1"/>
        <v>[5 – Deficiente Múltiplo]</v>
      </c>
      <c r="J26" t="str">
        <f t="shared" si="3"/>
        <v>'' AS [5 – Deficiente Múltiplo],</v>
      </c>
    </row>
    <row r="27" spans="1:10" x14ac:dyDescent="0.25">
      <c r="A27">
        <v>40</v>
      </c>
      <c r="B27" t="s">
        <v>6</v>
      </c>
      <c r="C27" t="s">
        <v>7</v>
      </c>
      <c r="D27" t="s">
        <v>32</v>
      </c>
      <c r="E27" t="s">
        <v>143</v>
      </c>
      <c r="F27" t="str">
        <f t="shared" si="1"/>
        <v>[Rua (endereço)]</v>
      </c>
      <c r="G27" t="s">
        <v>328</v>
      </c>
      <c r="H27" t="s">
        <v>809</v>
      </c>
      <c r="I27" t="s">
        <v>818</v>
      </c>
      <c r="J27" t="str">
        <f t="shared" si="2"/>
        <v>LEFT(CAST(PPESSOA.RUA AS VARCHAR), 40) AS [Rua (endereço)],</v>
      </c>
    </row>
    <row r="28" spans="1:10" x14ac:dyDescent="0.25">
      <c r="A28">
        <v>8</v>
      </c>
      <c r="B28" t="s">
        <v>6</v>
      </c>
      <c r="C28" t="s">
        <v>7</v>
      </c>
      <c r="D28" t="s">
        <v>32</v>
      </c>
      <c r="E28" t="s">
        <v>144</v>
      </c>
      <c r="F28" t="str">
        <f t="shared" si="1"/>
        <v>[Número (endereço)]</v>
      </c>
      <c r="G28" t="s">
        <v>328</v>
      </c>
      <c r="H28" t="s">
        <v>809</v>
      </c>
      <c r="I28" t="s">
        <v>819</v>
      </c>
      <c r="J28" t="str">
        <f t="shared" si="2"/>
        <v>LEFT(CAST(PPESSOA.NUMERO AS VARCHAR), 8) AS [Número (endereço)],</v>
      </c>
    </row>
    <row r="29" spans="1:10" x14ac:dyDescent="0.25">
      <c r="A29">
        <v>20</v>
      </c>
      <c r="B29" t="s">
        <v>6</v>
      </c>
      <c r="C29" t="s">
        <v>7</v>
      </c>
      <c r="D29" t="s">
        <v>32</v>
      </c>
      <c r="E29" t="s">
        <v>145</v>
      </c>
      <c r="F29" t="str">
        <f t="shared" si="1"/>
        <v>[Complemento (endereço)]</v>
      </c>
      <c r="J29" t="str">
        <f t="shared" si="3"/>
        <v>'' AS [Complemento (endereço)],</v>
      </c>
    </row>
    <row r="30" spans="1:10" x14ac:dyDescent="0.25">
      <c r="A30">
        <v>20</v>
      </c>
      <c r="B30" t="s">
        <v>6</v>
      </c>
      <c r="C30" t="s">
        <v>7</v>
      </c>
      <c r="D30" t="s">
        <v>32</v>
      </c>
      <c r="E30" t="s">
        <v>146</v>
      </c>
      <c r="F30" t="str">
        <f t="shared" si="1"/>
        <v>[Bairro]</v>
      </c>
      <c r="G30" t="s">
        <v>328</v>
      </c>
      <c r="H30" t="s">
        <v>809</v>
      </c>
      <c r="I30" t="s">
        <v>812</v>
      </c>
      <c r="J30" t="str">
        <f t="shared" si="2"/>
        <v>LEFT(CAST(PPESSOA.BAIRRO AS VARCHAR), 20) AS [Bairro],</v>
      </c>
    </row>
    <row r="31" spans="1:10" x14ac:dyDescent="0.25">
      <c r="A31">
        <v>20</v>
      </c>
      <c r="B31" t="s">
        <v>6</v>
      </c>
      <c r="C31" t="s">
        <v>7</v>
      </c>
      <c r="D31" t="s">
        <v>32</v>
      </c>
      <c r="E31" t="s">
        <v>147</v>
      </c>
      <c r="F31" t="str">
        <f t="shared" si="1"/>
        <v>[Cidade]</v>
      </c>
      <c r="G31" t="s">
        <v>328</v>
      </c>
      <c r="H31" t="s">
        <v>809</v>
      </c>
      <c r="I31" t="s">
        <v>813</v>
      </c>
      <c r="J31" t="str">
        <f t="shared" si="2"/>
        <v>LEFT(CAST(PPESSOA.CIDADE AS VARCHAR), 20) AS [Cidade],</v>
      </c>
    </row>
    <row r="32" spans="1:10" x14ac:dyDescent="0.25">
      <c r="A32">
        <v>10</v>
      </c>
      <c r="B32" t="s">
        <v>6</v>
      </c>
      <c r="C32" t="s">
        <v>7</v>
      </c>
      <c r="D32" t="s">
        <v>32</v>
      </c>
      <c r="E32" t="s">
        <v>148</v>
      </c>
      <c r="F32" t="str">
        <f t="shared" si="1"/>
        <v>[CEP]</v>
      </c>
      <c r="G32" t="s">
        <v>328</v>
      </c>
      <c r="H32" t="s">
        <v>809</v>
      </c>
      <c r="I32" t="s">
        <v>148</v>
      </c>
      <c r="J32" t="str">
        <f t="shared" si="2"/>
        <v>LEFT(CAST(PPESSOA.CEP AS VARCHAR), 10) AS [CEP],</v>
      </c>
    </row>
    <row r="33" spans="1:10" x14ac:dyDescent="0.25">
      <c r="A33">
        <v>2</v>
      </c>
      <c r="B33" t="s">
        <v>6</v>
      </c>
      <c r="C33" t="s">
        <v>7</v>
      </c>
      <c r="D33" t="s">
        <v>32</v>
      </c>
      <c r="E33" t="s">
        <v>149</v>
      </c>
      <c r="F33" t="str">
        <f t="shared" si="1"/>
        <v>[UF]</v>
      </c>
      <c r="G33" t="s">
        <v>328</v>
      </c>
      <c r="H33" t="s">
        <v>809</v>
      </c>
      <c r="I33" t="s">
        <v>815</v>
      </c>
      <c r="J33" t="str">
        <f t="shared" si="2"/>
        <v>LEFT(CAST(PPESSOA.ESTADO AS VARCHAR), 2) AS [UF],</v>
      </c>
    </row>
    <row r="34" spans="1:10" x14ac:dyDescent="0.25">
      <c r="A34">
        <v>4</v>
      </c>
      <c r="B34" t="s">
        <v>6</v>
      </c>
      <c r="C34" t="s">
        <v>7</v>
      </c>
      <c r="D34" t="s">
        <v>32</v>
      </c>
      <c r="E34" t="s">
        <v>150</v>
      </c>
      <c r="F34" t="str">
        <f t="shared" si="1"/>
        <v>[DDD]</v>
      </c>
      <c r="J34" t="str">
        <f t="shared" si="3"/>
        <v>'' AS [DDD],</v>
      </c>
    </row>
    <row r="35" spans="1:10" x14ac:dyDescent="0.25">
      <c r="A35">
        <v>15</v>
      </c>
      <c r="B35" t="s">
        <v>6</v>
      </c>
      <c r="C35" t="s">
        <v>7</v>
      </c>
      <c r="D35" t="s">
        <v>32</v>
      </c>
      <c r="E35" t="s">
        <v>151</v>
      </c>
      <c r="F35" t="str">
        <f t="shared" si="1"/>
        <v>[Telefone]</v>
      </c>
      <c r="G35" t="s">
        <v>328</v>
      </c>
      <c r="H35" t="s">
        <v>809</v>
      </c>
      <c r="I35" t="s">
        <v>816</v>
      </c>
      <c r="J35" t="str">
        <f t="shared" si="2"/>
        <v>LEFT(CAST(PPESSOA.TELEFONE1 AS VARCHAR), 15) AS [Telefone],</v>
      </c>
    </row>
    <row r="36" spans="1:10" x14ac:dyDescent="0.25">
      <c r="A36">
        <v>40</v>
      </c>
      <c r="B36" t="s">
        <v>6</v>
      </c>
      <c r="C36" t="s">
        <v>7</v>
      </c>
      <c r="D36" t="s">
        <v>32</v>
      </c>
      <c r="E36" t="s">
        <v>152</v>
      </c>
      <c r="F36" t="str">
        <f t="shared" si="1"/>
        <v>[Email]</v>
      </c>
      <c r="G36" t="s">
        <v>328</v>
      </c>
      <c r="H36" t="s">
        <v>809</v>
      </c>
      <c r="I36" t="s">
        <v>814</v>
      </c>
      <c r="J36" t="str">
        <f t="shared" si="2"/>
        <v>LEFT(CAST(PPESSOA.EMAIL AS VARCHAR), 40) AS [Email],</v>
      </c>
    </row>
    <row r="37" spans="1:10" x14ac:dyDescent="0.25">
      <c r="A37">
        <v>11</v>
      </c>
      <c r="B37" t="s">
        <v>6</v>
      </c>
      <c r="C37" t="s">
        <v>7</v>
      </c>
      <c r="D37" t="s">
        <v>32</v>
      </c>
      <c r="E37" t="s">
        <v>153</v>
      </c>
      <c r="F37" t="str">
        <f t="shared" si="1"/>
        <v>[PIS]</v>
      </c>
      <c r="G37" t="s">
        <v>328</v>
      </c>
      <c r="H37" t="s">
        <v>379</v>
      </c>
      <c r="I37" t="s">
        <v>817</v>
      </c>
      <c r="J37" t="str">
        <f t="shared" si="2"/>
        <v>LEFT(CAST(PFUNC.PISPASEP AS VARCHAR), 11) AS [PIS],</v>
      </c>
    </row>
    <row r="38" spans="1:10" x14ac:dyDescent="0.25">
      <c r="A38">
        <v>8</v>
      </c>
      <c r="B38" t="s">
        <v>2</v>
      </c>
      <c r="C38" t="s">
        <v>7</v>
      </c>
      <c r="D38" t="s">
        <v>32</v>
      </c>
      <c r="E38" t="s">
        <v>154</v>
      </c>
      <c r="F38" t="str">
        <f t="shared" si="1"/>
        <v>[Data do Cadastramento do PIS]</v>
      </c>
      <c r="J38" t="str">
        <f t="shared" si="3"/>
        <v>'' AS [Data do Cadastramento do PIS],</v>
      </c>
    </row>
    <row r="39" spans="1:10" x14ac:dyDescent="0.25">
      <c r="A39">
        <v>11</v>
      </c>
      <c r="B39" t="s">
        <v>6</v>
      </c>
      <c r="C39" t="s">
        <v>7</v>
      </c>
      <c r="D39" t="s">
        <v>8</v>
      </c>
      <c r="E39" t="s">
        <v>155</v>
      </c>
      <c r="F39" t="str">
        <f t="shared" si="1"/>
        <v>[CPF]</v>
      </c>
      <c r="G39" t="s">
        <v>328</v>
      </c>
      <c r="H39" t="s">
        <v>809</v>
      </c>
      <c r="I39" t="s">
        <v>155</v>
      </c>
      <c r="J39" t="str">
        <f t="shared" si="2"/>
        <v>LEFT(CAST(PPESSOA.CPF AS VARCHAR), 11) AS [CPF],</v>
      </c>
    </row>
    <row r="40" spans="1:10" x14ac:dyDescent="0.25">
      <c r="A40">
        <v>15</v>
      </c>
      <c r="B40" t="s">
        <v>6</v>
      </c>
      <c r="C40" t="s">
        <v>7</v>
      </c>
      <c r="D40" t="s">
        <v>32</v>
      </c>
      <c r="E40" t="s">
        <v>156</v>
      </c>
      <c r="F40" t="str">
        <f t="shared" si="1"/>
        <v>[Identidade (RE ou RG)]</v>
      </c>
      <c r="G40" t="s">
        <v>328</v>
      </c>
      <c r="H40" t="s">
        <v>809</v>
      </c>
      <c r="I40" t="s">
        <v>820</v>
      </c>
      <c r="J40" t="str">
        <f t="shared" ref="J40:J46" si="4">"LEFT(CAST("&amp;H40&amp;"."&amp;I40&amp;" AS "&amp;G40&amp;"), "&amp;A40*1&amp;") AS "&amp;F40&amp;","</f>
        <v>LEFT(CAST(PPESSOA.CARTIDENTIDADE AS VARCHAR), 15) AS [Identidade (RE ou RG)],</v>
      </c>
    </row>
    <row r="41" spans="1:10" x14ac:dyDescent="0.25">
      <c r="A41">
        <v>8</v>
      </c>
      <c r="B41" t="s">
        <v>2</v>
      </c>
      <c r="C41" t="s">
        <v>7</v>
      </c>
      <c r="D41" t="s">
        <v>32</v>
      </c>
      <c r="E41" t="s">
        <v>157</v>
      </c>
      <c r="F41" t="str">
        <f t="shared" si="1"/>
        <v>[Data da Emissão da Identidade]</v>
      </c>
      <c r="G41" t="s">
        <v>336</v>
      </c>
      <c r="H41" t="s">
        <v>809</v>
      </c>
      <c r="I41" t="s">
        <v>821</v>
      </c>
      <c r="J41" t="str">
        <f>"FORMAT("&amp;H41&amp;"."&amp;I41&amp;", 'ddMMyyyy') AS "&amp;F41&amp;","</f>
        <v>FORMAT(PPESSOA.DTEMISSAOIDENT, 'ddMMyyyy') AS [Data da Emissão da Identidade],</v>
      </c>
    </row>
    <row r="42" spans="1:10" x14ac:dyDescent="0.25">
      <c r="A42">
        <v>8</v>
      </c>
      <c r="B42" t="s">
        <v>6</v>
      </c>
      <c r="C42" t="s">
        <v>7</v>
      </c>
      <c r="D42" t="s">
        <v>32</v>
      </c>
      <c r="E42" t="s">
        <v>158</v>
      </c>
      <c r="F42" t="str">
        <f t="shared" si="1"/>
        <v>[Órgão Emissor da Identidade]</v>
      </c>
      <c r="G42" t="s">
        <v>328</v>
      </c>
      <c r="H42" t="s">
        <v>809</v>
      </c>
      <c r="I42" t="s">
        <v>822</v>
      </c>
      <c r="J42" t="str">
        <f t="shared" si="4"/>
        <v>LEFT(CAST(PPESSOA.ORGEMISSORIDENT AS VARCHAR), 8) AS [Órgão Emissor da Identidade],</v>
      </c>
    </row>
    <row r="43" spans="1:10" x14ac:dyDescent="0.25">
      <c r="A43">
        <v>2</v>
      </c>
      <c r="B43" t="s">
        <v>6</v>
      </c>
      <c r="C43" t="s">
        <v>7</v>
      </c>
      <c r="D43" t="s">
        <v>32</v>
      </c>
      <c r="E43" t="s">
        <v>159</v>
      </c>
      <c r="F43" t="str">
        <f t="shared" si="1"/>
        <v>[UF da Identidade]</v>
      </c>
      <c r="G43" t="s">
        <v>328</v>
      </c>
      <c r="H43" t="s">
        <v>809</v>
      </c>
      <c r="I43" t="s">
        <v>823</v>
      </c>
      <c r="J43" t="str">
        <f t="shared" si="4"/>
        <v>LEFT(CAST(PPESSOA.UFEMISSAOIDENT AS VARCHAR), 2) AS [UF da Identidade],</v>
      </c>
    </row>
    <row r="44" spans="1:10" x14ac:dyDescent="0.25">
      <c r="A44">
        <v>15</v>
      </c>
      <c r="B44" t="s">
        <v>6</v>
      </c>
      <c r="C44" t="s">
        <v>7</v>
      </c>
      <c r="D44" t="s">
        <v>32</v>
      </c>
      <c r="E44" t="s">
        <v>160</v>
      </c>
      <c r="F44" t="str">
        <f t="shared" si="1"/>
        <v>[Título Eleitoral]</v>
      </c>
      <c r="G44" t="s">
        <v>328</v>
      </c>
      <c r="H44" t="s">
        <v>809</v>
      </c>
      <c r="I44" t="s">
        <v>824</v>
      </c>
      <c r="J44" t="str">
        <f t="shared" si="4"/>
        <v>LEFT(CAST(PPESSOA.TITULOELEITOR AS VARCHAR), 15) AS [Título Eleitoral],</v>
      </c>
    </row>
    <row r="45" spans="1:10" x14ac:dyDescent="0.25">
      <c r="A45">
        <v>4</v>
      </c>
      <c r="B45" t="s">
        <v>6</v>
      </c>
      <c r="C45" t="s">
        <v>7</v>
      </c>
      <c r="D45" t="s">
        <v>32</v>
      </c>
      <c r="E45" t="s">
        <v>161</v>
      </c>
      <c r="F45" t="str">
        <f t="shared" si="1"/>
        <v>[Zona Eleitoral]</v>
      </c>
      <c r="G45" t="s">
        <v>328</v>
      </c>
      <c r="H45" t="s">
        <v>809</v>
      </c>
      <c r="I45" t="s">
        <v>825</v>
      </c>
      <c r="J45" t="str">
        <f t="shared" si="4"/>
        <v>LEFT(CAST(PPESSOA.ZONATITELEITOR AS VARCHAR), 4) AS [Zona Eleitoral],</v>
      </c>
    </row>
    <row r="46" spans="1:10" x14ac:dyDescent="0.25">
      <c r="A46">
        <v>4</v>
      </c>
      <c r="B46" t="s">
        <v>6</v>
      </c>
      <c r="C46" t="s">
        <v>7</v>
      </c>
      <c r="D46" t="s">
        <v>32</v>
      </c>
      <c r="E46" t="s">
        <v>162</v>
      </c>
      <c r="F46" t="str">
        <f t="shared" si="1"/>
        <v>[Seção Eleitoral]</v>
      </c>
      <c r="G46" t="s">
        <v>328</v>
      </c>
      <c r="H46" t="s">
        <v>809</v>
      </c>
      <c r="I46" t="s">
        <v>826</v>
      </c>
      <c r="J46" t="str">
        <f t="shared" si="4"/>
        <v>LEFT(CAST(PPESSOA.SECAOTITELEITOR AS VARCHAR), 4) AS [Seção Eleitoral],</v>
      </c>
    </row>
    <row r="47" spans="1:10" x14ac:dyDescent="0.25">
      <c r="A47">
        <v>1</v>
      </c>
      <c r="B47" t="s">
        <v>6</v>
      </c>
      <c r="C47" t="s">
        <v>7</v>
      </c>
      <c r="D47" t="s">
        <v>32</v>
      </c>
      <c r="E47" t="s">
        <v>557</v>
      </c>
      <c r="F47" t="str">
        <f t="shared" si="1"/>
        <v>[Aposentado]</v>
      </c>
      <c r="J47" t="str">
        <f t="shared" si="3"/>
        <v>'' AS [Aposentado],</v>
      </c>
    </row>
    <row r="48" spans="1:10" x14ac:dyDescent="0.25">
      <c r="B48" t="s">
        <v>7</v>
      </c>
      <c r="C48" t="s">
        <v>7</v>
      </c>
      <c r="D48" t="s">
        <v>7</v>
      </c>
      <c r="E48" t="s">
        <v>163</v>
      </c>
      <c r="F48" t="str">
        <f t="shared" si="1"/>
        <v>[0 – Não Aposentado]</v>
      </c>
      <c r="J48" t="str">
        <f t="shared" si="3"/>
        <v>'' AS [0 – Não Aposentado],</v>
      </c>
    </row>
    <row r="49" spans="1:10" x14ac:dyDescent="0.25">
      <c r="B49" t="s">
        <v>7</v>
      </c>
      <c r="C49" t="s">
        <v>7</v>
      </c>
      <c r="D49" t="s">
        <v>7</v>
      </c>
      <c r="E49" t="s">
        <v>164</v>
      </c>
      <c r="F49" t="str">
        <f t="shared" si="1"/>
        <v>[1 – Aposentado]</v>
      </c>
      <c r="J49" t="str">
        <f t="shared" si="3"/>
        <v>'' AS [1 – Aposentado],</v>
      </c>
    </row>
    <row r="50" spans="1:10" x14ac:dyDescent="0.25">
      <c r="A50">
        <v>8</v>
      </c>
      <c r="B50" t="s">
        <v>2</v>
      </c>
      <c r="C50" t="s">
        <v>7</v>
      </c>
      <c r="D50" t="s">
        <v>32</v>
      </c>
      <c r="E50" t="s">
        <v>165</v>
      </c>
      <c r="F50" t="str">
        <f t="shared" si="1"/>
        <v>[Data da Aposentadoria]</v>
      </c>
      <c r="J50" t="str">
        <f t="shared" si="3"/>
        <v>'' AS [Data da Aposentadoria],</v>
      </c>
    </row>
    <row r="51" spans="1:10" x14ac:dyDescent="0.25">
      <c r="A51">
        <v>2</v>
      </c>
      <c r="B51" t="s">
        <v>6</v>
      </c>
      <c r="C51" t="s">
        <v>7</v>
      </c>
      <c r="D51" t="s">
        <v>32</v>
      </c>
      <c r="E51" t="s">
        <v>525</v>
      </c>
      <c r="F51" t="str">
        <f t="shared" si="1"/>
        <v>[Estado Civil]</v>
      </c>
      <c r="G51" t="s">
        <v>328</v>
      </c>
      <c r="H51" t="s">
        <v>809</v>
      </c>
      <c r="I51" t="s">
        <v>827</v>
      </c>
      <c r="J51" t="str">
        <f t="shared" ref="J51" si="5">"LEFT(CAST("&amp;H51&amp;"."&amp;I51&amp;" AS "&amp;G51&amp;"), "&amp;A51*1&amp;") AS "&amp;F51&amp;","</f>
        <v>LEFT(CAST(PPESSOA.ESTADOCIVIL AS VARCHAR), 2) AS [Estado Civil],</v>
      </c>
    </row>
    <row r="52" spans="1:10" x14ac:dyDescent="0.25">
      <c r="B52" t="s">
        <v>7</v>
      </c>
      <c r="C52" t="s">
        <v>7</v>
      </c>
      <c r="D52" t="s">
        <v>7</v>
      </c>
      <c r="E52" t="s">
        <v>167</v>
      </c>
      <c r="F52" t="str">
        <f t="shared" si="1"/>
        <v>[01 – Solteiro]</v>
      </c>
      <c r="J52" t="str">
        <f t="shared" si="3"/>
        <v>'' AS [01 – Solteiro],</v>
      </c>
    </row>
    <row r="53" spans="1:10" x14ac:dyDescent="0.25">
      <c r="B53" t="s">
        <v>7</v>
      </c>
      <c r="C53" t="s">
        <v>7</v>
      </c>
      <c r="D53" t="s">
        <v>7</v>
      </c>
      <c r="E53" t="s">
        <v>168</v>
      </c>
      <c r="F53" t="str">
        <f t="shared" si="1"/>
        <v>[02 – Casado]</v>
      </c>
      <c r="J53" t="str">
        <f t="shared" si="3"/>
        <v>'' AS [02 – Casado],</v>
      </c>
    </row>
    <row r="54" spans="1:10" x14ac:dyDescent="0.25">
      <c r="B54" t="s">
        <v>7</v>
      </c>
      <c r="C54" t="s">
        <v>7</v>
      </c>
      <c r="D54" t="s">
        <v>7</v>
      </c>
      <c r="E54" t="s">
        <v>169</v>
      </c>
      <c r="F54" t="str">
        <f t="shared" si="1"/>
        <v>[03 – Viúvo]</v>
      </c>
      <c r="J54" t="str">
        <f t="shared" si="3"/>
        <v>'' AS [03 – Viúvo],</v>
      </c>
    </row>
    <row r="55" spans="1:10" x14ac:dyDescent="0.25">
      <c r="B55" t="s">
        <v>7</v>
      </c>
      <c r="C55" t="s">
        <v>7</v>
      </c>
      <c r="D55" t="s">
        <v>7</v>
      </c>
      <c r="E55" t="s">
        <v>170</v>
      </c>
      <c r="F55" t="str">
        <f t="shared" si="1"/>
        <v>[04 – Separado]</v>
      </c>
      <c r="J55" t="str">
        <f t="shared" si="3"/>
        <v>'' AS [04 – Separado],</v>
      </c>
    </row>
    <row r="56" spans="1:10" x14ac:dyDescent="0.25">
      <c r="B56" t="s">
        <v>7</v>
      </c>
      <c r="C56" t="s">
        <v>7</v>
      </c>
      <c r="D56" t="s">
        <v>7</v>
      </c>
      <c r="E56" t="s">
        <v>171</v>
      </c>
      <c r="F56" t="str">
        <f t="shared" si="1"/>
        <v>[05 – Divorciado]</v>
      </c>
      <c r="J56" t="str">
        <f t="shared" si="3"/>
        <v>'' AS [05 – Divorciado],</v>
      </c>
    </row>
    <row r="57" spans="1:10" x14ac:dyDescent="0.25">
      <c r="A57">
        <v>2</v>
      </c>
      <c r="B57" t="s">
        <v>6</v>
      </c>
      <c r="C57" t="s">
        <v>7</v>
      </c>
      <c r="D57" t="s">
        <v>32</v>
      </c>
      <c r="E57" t="s">
        <v>297</v>
      </c>
      <c r="F57" t="str">
        <f t="shared" si="1"/>
        <v>[Grau de Instrução]</v>
      </c>
      <c r="G57" t="s">
        <v>328</v>
      </c>
      <c r="H57" t="s">
        <v>809</v>
      </c>
      <c r="I57" t="s">
        <v>828</v>
      </c>
      <c r="J57" t="str">
        <f t="shared" ref="J57" si="6">"LEFT(CAST("&amp;H57&amp;"."&amp;I57&amp;" AS "&amp;G57&amp;"), "&amp;A57*1&amp;") AS "&amp;F57&amp;","</f>
        <v>LEFT(CAST(PPESSOA.GRAUINSTRUCAO AS VARCHAR), 2) AS [Grau de Instrução],</v>
      </c>
    </row>
    <row r="58" spans="1:10" x14ac:dyDescent="0.25">
      <c r="B58" t="s">
        <v>7</v>
      </c>
      <c r="C58" t="s">
        <v>7</v>
      </c>
      <c r="D58" t="s">
        <v>7</v>
      </c>
      <c r="E58" t="s">
        <v>172</v>
      </c>
      <c r="F58" t="str">
        <f t="shared" si="1"/>
        <v>[01 – Analfabeto]</v>
      </c>
      <c r="J58" t="str">
        <f t="shared" si="3"/>
        <v>'' AS [01 – Analfabeto],</v>
      </c>
    </row>
    <row r="59" spans="1:10" x14ac:dyDescent="0.25">
      <c r="B59" t="s">
        <v>7</v>
      </c>
      <c r="C59" t="s">
        <v>7</v>
      </c>
      <c r="D59" t="s">
        <v>7</v>
      </c>
      <c r="E59" t="s">
        <v>173</v>
      </c>
      <c r="F59" t="str">
        <f t="shared" si="1"/>
        <v>[02 – Até o 5º Ano Incompleto do Ensino Fundamental]</v>
      </c>
      <c r="J59" t="str">
        <f t="shared" si="3"/>
        <v>'' AS [02 – Até o 5º Ano Incompleto do Ensino Fundamental],</v>
      </c>
    </row>
    <row r="60" spans="1:10" x14ac:dyDescent="0.25">
      <c r="B60" t="s">
        <v>7</v>
      </c>
      <c r="C60" t="s">
        <v>7</v>
      </c>
      <c r="D60" t="s">
        <v>7</v>
      </c>
      <c r="E60" t="s">
        <v>174</v>
      </c>
      <c r="F60" t="str">
        <f t="shared" si="1"/>
        <v>[03 – 5º Ano Completo do Ensino Fundamental]</v>
      </c>
      <c r="J60" t="str">
        <f t="shared" si="3"/>
        <v>'' AS [03 – 5º Ano Completo do Ensino Fundamental],</v>
      </c>
    </row>
    <row r="61" spans="1:10" x14ac:dyDescent="0.25">
      <c r="B61" t="s">
        <v>7</v>
      </c>
      <c r="C61" t="s">
        <v>7</v>
      </c>
      <c r="D61" t="s">
        <v>7</v>
      </c>
      <c r="E61" t="s">
        <v>175</v>
      </c>
      <c r="F61" t="str">
        <f t="shared" si="1"/>
        <v>[04 – Do 6º ao 9º Ano do Ensino Fundamental Incompleto]</v>
      </c>
      <c r="J61" t="str">
        <f t="shared" si="3"/>
        <v>'' AS [04 – Do 6º ao 9º Ano do Ensino Fundamental Incompleto],</v>
      </c>
    </row>
    <row r="62" spans="1:10" x14ac:dyDescent="0.25">
      <c r="B62" t="s">
        <v>7</v>
      </c>
      <c r="C62" t="s">
        <v>7</v>
      </c>
      <c r="D62" t="s">
        <v>7</v>
      </c>
      <c r="E62" t="s">
        <v>176</v>
      </c>
      <c r="F62" t="str">
        <f t="shared" si="1"/>
        <v>[05 – Ensino Fundamental Completo]</v>
      </c>
      <c r="J62" t="str">
        <f t="shared" si="3"/>
        <v>'' AS [05 – Ensino Fundamental Completo],</v>
      </c>
    </row>
    <row r="63" spans="1:10" x14ac:dyDescent="0.25">
      <c r="B63" t="s">
        <v>7</v>
      </c>
      <c r="C63" t="s">
        <v>7</v>
      </c>
      <c r="D63" t="s">
        <v>7</v>
      </c>
      <c r="E63" t="s">
        <v>177</v>
      </c>
      <c r="F63" t="str">
        <f t="shared" si="1"/>
        <v>[06 - Ensino Médio Incompleto]</v>
      </c>
      <c r="J63" t="str">
        <f t="shared" si="3"/>
        <v>'' AS [06 - Ensino Médio Incompleto],</v>
      </c>
    </row>
    <row r="64" spans="1:10" x14ac:dyDescent="0.25">
      <c r="B64" t="s">
        <v>7</v>
      </c>
      <c r="C64" t="s">
        <v>7</v>
      </c>
      <c r="D64" t="s">
        <v>7</v>
      </c>
      <c r="E64" t="s">
        <v>178</v>
      </c>
      <c r="F64" t="str">
        <f t="shared" si="1"/>
        <v>[07 – Ensino Médio Completo]</v>
      </c>
      <c r="J64" t="str">
        <f t="shared" si="3"/>
        <v>'' AS [07 – Ensino Médio Completo],</v>
      </c>
    </row>
    <row r="65" spans="1:10" x14ac:dyDescent="0.25">
      <c r="B65" t="s">
        <v>7</v>
      </c>
      <c r="C65" t="s">
        <v>7</v>
      </c>
      <c r="D65" t="s">
        <v>7</v>
      </c>
      <c r="E65" t="s">
        <v>179</v>
      </c>
      <c r="F65" t="str">
        <f t="shared" si="1"/>
        <v>[09 – Educação Superior Incompleta]</v>
      </c>
      <c r="J65" t="str">
        <f t="shared" si="3"/>
        <v>'' AS [09 – Educação Superior Incompleta],</v>
      </c>
    </row>
    <row r="66" spans="1:10" x14ac:dyDescent="0.25">
      <c r="B66" t="s">
        <v>7</v>
      </c>
      <c r="C66" t="s">
        <v>7</v>
      </c>
      <c r="D66" t="s">
        <v>7</v>
      </c>
      <c r="E66" t="s">
        <v>180</v>
      </c>
      <c r="F66" t="str">
        <f t="shared" si="1"/>
        <v>[10 – Educação Superior Completa]</v>
      </c>
      <c r="J66" t="str">
        <f t="shared" si="3"/>
        <v>'' AS [10 – Educação Superior Completa],</v>
      </c>
    </row>
    <row r="67" spans="1:10" x14ac:dyDescent="0.25">
      <c r="B67" t="s">
        <v>7</v>
      </c>
      <c r="C67" t="s">
        <v>7</v>
      </c>
      <c r="D67" t="s">
        <v>7</v>
      </c>
      <c r="E67" t="s">
        <v>181</v>
      </c>
      <c r="F67" t="str">
        <f t="shared" ref="F67:F88" si="7">"["&amp;E67&amp;"]"</f>
        <v>[11 – Pós-Graduado]</v>
      </c>
      <c r="J67" t="str">
        <f t="shared" si="3"/>
        <v>'' AS [11 – Pós-Graduado],</v>
      </c>
    </row>
    <row r="68" spans="1:10" x14ac:dyDescent="0.25">
      <c r="B68" t="s">
        <v>7</v>
      </c>
      <c r="C68" t="s">
        <v>7</v>
      </c>
      <c r="D68" t="s">
        <v>7</v>
      </c>
      <c r="E68" t="s">
        <v>182</v>
      </c>
      <c r="F68" t="str">
        <f t="shared" si="7"/>
        <v>[12 – Mestrado Completo]</v>
      </c>
      <c r="J68" t="str">
        <f t="shared" si="3"/>
        <v>'' AS [12 – Mestrado Completo],</v>
      </c>
    </row>
    <row r="69" spans="1:10" x14ac:dyDescent="0.25">
      <c r="B69" t="s">
        <v>7</v>
      </c>
      <c r="C69" t="s">
        <v>7</v>
      </c>
      <c r="D69" t="s">
        <v>7</v>
      </c>
      <c r="E69" t="s">
        <v>183</v>
      </c>
      <c r="F69" t="str">
        <f t="shared" si="7"/>
        <v>[13 – Doutorado Completo]</v>
      </c>
      <c r="J69" t="str">
        <f t="shared" ref="J69:J82" si="8">"'' AS "&amp;F69&amp;","</f>
        <v>'' AS [13 – Doutorado Completo],</v>
      </c>
    </row>
    <row r="70" spans="1:10" x14ac:dyDescent="0.25">
      <c r="A70">
        <v>2</v>
      </c>
      <c r="B70" t="s">
        <v>6</v>
      </c>
      <c r="C70" t="s">
        <v>7</v>
      </c>
      <c r="D70" t="s">
        <v>32</v>
      </c>
      <c r="E70" t="s">
        <v>184</v>
      </c>
      <c r="F70" t="str">
        <f t="shared" si="7"/>
        <v>[Nacionalidade (cfe. Tabela da Rais)]</v>
      </c>
      <c r="G70" t="s">
        <v>328</v>
      </c>
      <c r="H70" t="s">
        <v>809</v>
      </c>
      <c r="I70" t="s">
        <v>829</v>
      </c>
      <c r="J70" t="str">
        <f t="shared" ref="J70" si="9">"LEFT(CAST("&amp;H70&amp;"."&amp;I70&amp;" AS "&amp;G70&amp;"), "&amp;A70*1&amp;") AS "&amp;F70&amp;","</f>
        <v>LEFT(CAST(PPESSOA.NACIONALIDADE AS VARCHAR), 2) AS [Nacionalidade (cfe. Tabela da Rais)],</v>
      </c>
    </row>
    <row r="71" spans="1:10" x14ac:dyDescent="0.25">
      <c r="A71">
        <v>4</v>
      </c>
      <c r="B71" t="s">
        <v>6</v>
      </c>
      <c r="C71" t="s">
        <v>7</v>
      </c>
      <c r="D71" t="s">
        <v>32</v>
      </c>
      <c r="E71" t="s">
        <v>185</v>
      </c>
      <c r="F71" t="str">
        <f t="shared" si="7"/>
        <v>[DDD do Telefone Celular]</v>
      </c>
      <c r="J71" t="str">
        <f t="shared" si="8"/>
        <v>'' AS [DDD do Telefone Celular],</v>
      </c>
    </row>
    <row r="72" spans="1:10" x14ac:dyDescent="0.25">
      <c r="A72">
        <v>15</v>
      </c>
      <c r="B72" t="s">
        <v>6</v>
      </c>
      <c r="C72" t="s">
        <v>7</v>
      </c>
      <c r="D72" t="s">
        <v>32</v>
      </c>
      <c r="E72" t="s">
        <v>186</v>
      </c>
      <c r="F72" t="str">
        <f t="shared" si="7"/>
        <v>[Número do Telefone Celular]</v>
      </c>
      <c r="J72" t="str">
        <f t="shared" si="8"/>
        <v>'' AS [Número do Telefone Celular],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187</v>
      </c>
      <c r="F73" t="str">
        <f t="shared" si="7"/>
        <v>[Certificado de Reservista]</v>
      </c>
      <c r="G73" t="s">
        <v>328</v>
      </c>
      <c r="H73" t="s">
        <v>809</v>
      </c>
      <c r="I73" t="s">
        <v>830</v>
      </c>
      <c r="J73" t="str">
        <f t="shared" ref="J73:J79" si="10">"LEFT(CAST("&amp;H73&amp;"."&amp;I73&amp;" AS "&amp;G73&amp;"), "&amp;A73*1&amp;") AS "&amp;F73&amp;","</f>
        <v>LEFT(CAST(PPESSOA.CERTIFRESERV AS VARCHAR), 20) AS [Certificado de Reservista],</v>
      </c>
    </row>
    <row r="74" spans="1:10" x14ac:dyDescent="0.25">
      <c r="A74">
        <v>15</v>
      </c>
      <c r="B74" t="s">
        <v>6</v>
      </c>
      <c r="C74" t="s">
        <v>7</v>
      </c>
      <c r="D74" t="s">
        <v>32</v>
      </c>
      <c r="E74" t="s">
        <v>188</v>
      </c>
      <c r="F74" t="str">
        <f t="shared" si="7"/>
        <v>[Registro da Carteira de Habilitação]</v>
      </c>
      <c r="G74" t="s">
        <v>328</v>
      </c>
      <c r="H74" t="s">
        <v>809</v>
      </c>
      <c r="I74" t="s">
        <v>831</v>
      </c>
      <c r="J74" t="str">
        <f t="shared" si="10"/>
        <v>LEFT(CAST(PPESSOA.CARTMOTORISTA AS VARCHAR), 15) AS [Registro da Carteira de Habilitação],</v>
      </c>
    </row>
    <row r="75" spans="1:10" x14ac:dyDescent="0.25">
      <c r="A75">
        <v>3</v>
      </c>
      <c r="B75" t="s">
        <v>6</v>
      </c>
      <c r="C75" t="s">
        <v>7</v>
      </c>
      <c r="D75" t="s">
        <v>32</v>
      </c>
      <c r="E75" t="s">
        <v>189</v>
      </c>
      <c r="F75" t="str">
        <f t="shared" si="7"/>
        <v>[Categoria da Carteira de Habilitação]</v>
      </c>
      <c r="G75" t="s">
        <v>328</v>
      </c>
      <c r="H75" t="s">
        <v>809</v>
      </c>
      <c r="I75" t="s">
        <v>832</v>
      </c>
      <c r="J75" t="str">
        <f t="shared" si="10"/>
        <v>LEFT(CAST(PPESSOA.TIPOCARTHABILIT AS VARCHAR), 3) AS [Categoria da Carteira de Habilitação],</v>
      </c>
    </row>
    <row r="76" spans="1:10" x14ac:dyDescent="0.25">
      <c r="A76">
        <v>8</v>
      </c>
      <c r="B76" t="s">
        <v>2</v>
      </c>
      <c r="C76" t="s">
        <v>7</v>
      </c>
      <c r="D76" t="s">
        <v>32</v>
      </c>
      <c r="E76" t="s">
        <v>190</v>
      </c>
      <c r="F76" t="str">
        <f t="shared" si="7"/>
        <v>[Data de Validade da Carteira de Habilitação]</v>
      </c>
      <c r="G76" t="s">
        <v>336</v>
      </c>
      <c r="H76" t="s">
        <v>809</v>
      </c>
      <c r="I76" t="s">
        <v>833</v>
      </c>
      <c r="J76" t="str">
        <f>"FORMAT("&amp;H76&amp;"."&amp;I76&amp;", 'ddMMyyyy') AS "&amp;F76&amp;","</f>
        <v>FORMAT(PPESSOA.DATAVENCHABILIT, 'ddMMyyyy') AS [Data de Validade da Carteira de Habilitação],</v>
      </c>
    </row>
    <row r="77" spans="1:10" x14ac:dyDescent="0.25">
      <c r="A77">
        <v>20</v>
      </c>
      <c r="B77" t="s">
        <v>6</v>
      </c>
      <c r="C77" t="s">
        <v>7</v>
      </c>
      <c r="D77" t="s">
        <v>32</v>
      </c>
      <c r="E77" t="s">
        <v>191</v>
      </c>
      <c r="F77" t="str">
        <f t="shared" si="7"/>
        <v>[Órgão Emissor da Carteira de Habilitação]</v>
      </c>
      <c r="G77" t="s">
        <v>328</v>
      </c>
      <c r="H77" t="s">
        <v>809</v>
      </c>
      <c r="I77" t="s">
        <v>834</v>
      </c>
      <c r="J77" t="str">
        <f t="shared" si="10"/>
        <v>LEFT(CAST(PPESSOA.ORGEMISSORCNH AS VARCHAR), 20) AS [Órgão Emissor da Carteira de Habilitação],</v>
      </c>
    </row>
    <row r="78" spans="1:10" x14ac:dyDescent="0.25">
      <c r="A78">
        <v>2</v>
      </c>
      <c r="B78" t="s">
        <v>6</v>
      </c>
      <c r="C78" t="s">
        <v>7</v>
      </c>
      <c r="D78" t="s">
        <v>32</v>
      </c>
      <c r="E78" t="s">
        <v>192</v>
      </c>
      <c r="F78" t="str">
        <f t="shared" si="7"/>
        <v>[UF da Carteira de Habilitação]</v>
      </c>
      <c r="G78" t="s">
        <v>328</v>
      </c>
      <c r="H78" t="s">
        <v>809</v>
      </c>
      <c r="I78" t="s">
        <v>835</v>
      </c>
      <c r="J78" t="str">
        <f t="shared" si="10"/>
        <v>LEFT(CAST(PPESSOA.UFCNH AS VARCHAR), 2) AS [UF da Carteira de Habilitação],</v>
      </c>
    </row>
    <row r="79" spans="1:10" x14ac:dyDescent="0.25">
      <c r="A79">
        <v>20</v>
      </c>
      <c r="B79" t="s">
        <v>6</v>
      </c>
      <c r="C79" t="s">
        <v>7</v>
      </c>
      <c r="D79" t="s">
        <v>32</v>
      </c>
      <c r="E79" t="s">
        <v>193</v>
      </c>
      <c r="F79" t="str">
        <f t="shared" si="7"/>
        <v>[Número do Cartão do SUS]</v>
      </c>
      <c r="G79" t="s">
        <v>328</v>
      </c>
      <c r="H79" t="s">
        <v>809</v>
      </c>
      <c r="I79" t="s">
        <v>838</v>
      </c>
      <c r="J79" t="str">
        <f t="shared" si="10"/>
        <v>LEFT(CAST(PPESSOA.NUMEROCARTAOSUS AS VARCHAR), 20) AS [Número do Cartão do SUS],</v>
      </c>
    </row>
    <row r="80" spans="1:10" x14ac:dyDescent="0.25">
      <c r="A80">
        <v>14</v>
      </c>
      <c r="B80" t="s">
        <v>6</v>
      </c>
      <c r="C80" t="s">
        <v>7</v>
      </c>
      <c r="D80" t="s">
        <v>32</v>
      </c>
      <c r="E80" t="s">
        <v>194</v>
      </c>
      <c r="F80" t="str">
        <f t="shared" si="7"/>
        <v>[Número do Registro de Identidade Civil (RIC)]</v>
      </c>
      <c r="J80" t="str">
        <f t="shared" si="8"/>
        <v>'' AS [Número do Registro de Identidade Civil (RIC)],</v>
      </c>
    </row>
    <row r="81" spans="1:10" x14ac:dyDescent="0.25">
      <c r="A81">
        <v>8</v>
      </c>
      <c r="B81" t="s">
        <v>2</v>
      </c>
      <c r="C81" t="s">
        <v>7</v>
      </c>
      <c r="D81" t="s">
        <v>32</v>
      </c>
      <c r="E81" t="s">
        <v>195</v>
      </c>
      <c r="F81" t="str">
        <f t="shared" si="7"/>
        <v>[Data de Expedição do Registro de Identidade Civil (RIC)]</v>
      </c>
      <c r="J81" t="str">
        <f t="shared" si="8"/>
        <v>'' AS [Data de Expedição do Registro de Identidade Civil (RIC)],</v>
      </c>
    </row>
    <row r="82" spans="1:10" x14ac:dyDescent="0.25">
      <c r="A82">
        <v>20</v>
      </c>
      <c r="B82" t="s">
        <v>6</v>
      </c>
      <c r="C82" t="s">
        <v>7</v>
      </c>
      <c r="D82" t="s">
        <v>32</v>
      </c>
      <c r="E82" t="s">
        <v>196</v>
      </c>
      <c r="F82" t="str">
        <f t="shared" si="7"/>
        <v>[Órgão Emissor do Registro de Identidade Civil (RIC)]</v>
      </c>
      <c r="J82" t="str">
        <f t="shared" si="8"/>
        <v>'' AS [Órgão Emissor do Registro de Identidade Civil (RIC)],</v>
      </c>
    </row>
    <row r="83" spans="1:10" x14ac:dyDescent="0.25">
      <c r="A83">
        <v>10</v>
      </c>
      <c r="B83" t="s">
        <v>6</v>
      </c>
      <c r="C83" t="s">
        <v>7</v>
      </c>
      <c r="D83" t="s">
        <v>32</v>
      </c>
      <c r="E83" t="s">
        <v>197</v>
      </c>
      <c r="F83" t="str">
        <f t="shared" si="7"/>
        <v>[Número da Carteira de Trabalho]</v>
      </c>
      <c r="G83" t="s">
        <v>328</v>
      </c>
      <c r="H83" t="s">
        <v>809</v>
      </c>
      <c r="I83" t="s">
        <v>837</v>
      </c>
      <c r="J83" t="str">
        <f t="shared" ref="J83:J87" si="11">"LEFT(CAST("&amp;H83&amp;"."&amp;I83&amp;" AS "&amp;G83&amp;"), "&amp;A83*1&amp;") AS "&amp;F83&amp;","</f>
        <v>LEFT(CAST(PPESSOA.CARTEIRATRAB AS VARCHAR), 10) AS [Número da Carteira de Trabalho],</v>
      </c>
    </row>
    <row r="84" spans="1:10" x14ac:dyDescent="0.25">
      <c r="A84">
        <v>5</v>
      </c>
      <c r="B84" t="s">
        <v>6</v>
      </c>
      <c r="C84" t="s">
        <v>7</v>
      </c>
      <c r="D84" t="s">
        <v>32</v>
      </c>
      <c r="E84" t="s">
        <v>198</v>
      </c>
      <c r="F84" t="str">
        <f t="shared" si="7"/>
        <v>[Série da Carteira de Trabalho]</v>
      </c>
      <c r="G84" t="s">
        <v>328</v>
      </c>
      <c r="H84" t="s">
        <v>809</v>
      </c>
      <c r="I84" t="s">
        <v>836</v>
      </c>
      <c r="J84" t="str">
        <f t="shared" si="11"/>
        <v>LEFT(CAST(PPESSOA.SERIECARTTRAB AS VARCHAR), 5) AS [Série da Carteira de Trabalho],</v>
      </c>
    </row>
    <row r="85" spans="1:10" x14ac:dyDescent="0.25">
      <c r="A85">
        <v>8</v>
      </c>
      <c r="B85" t="s">
        <v>2</v>
      </c>
      <c r="C85" t="s">
        <v>7</v>
      </c>
      <c r="D85" t="s">
        <v>32</v>
      </c>
      <c r="E85" t="s">
        <v>199</v>
      </c>
      <c r="F85" t="str">
        <f t="shared" si="7"/>
        <v>[Data de Emissão da Carteira de Trabalho]</v>
      </c>
      <c r="G85" t="s">
        <v>336</v>
      </c>
      <c r="H85" t="s">
        <v>809</v>
      </c>
      <c r="I85" t="s">
        <v>839</v>
      </c>
      <c r="J85" t="str">
        <f>"FORMAT("&amp;H85&amp;"."&amp;I85&amp;", 'ddMMyyyy') AS "&amp;F85&amp;","</f>
        <v>FORMAT(PPESSOA.DTCARTTRAB, 'ddMMyyyy') AS [Data de Emissão da Carteira de Trabalho],</v>
      </c>
    </row>
    <row r="86" spans="1:10" x14ac:dyDescent="0.25">
      <c r="A86">
        <v>2</v>
      </c>
      <c r="B86" t="s">
        <v>6</v>
      </c>
      <c r="C86" t="s">
        <v>7</v>
      </c>
      <c r="D86" t="s">
        <v>32</v>
      </c>
      <c r="E86" t="s">
        <v>200</v>
      </c>
      <c r="F86" t="str">
        <f t="shared" si="7"/>
        <v>[UF da Carteira de Trabalho]</v>
      </c>
      <c r="G86" t="s">
        <v>328</v>
      </c>
      <c r="H86" t="s">
        <v>809</v>
      </c>
      <c r="I86" t="s">
        <v>840</v>
      </c>
      <c r="J86" t="str">
        <f t="shared" si="11"/>
        <v>LEFT(CAST(PPESSOA.UFCARTTRAB AS VARCHAR), 2) AS [UF da Carteira de Trabalho],</v>
      </c>
    </row>
    <row r="87" spans="1:10" x14ac:dyDescent="0.25">
      <c r="A87">
        <v>70</v>
      </c>
      <c r="B87" t="s">
        <v>6</v>
      </c>
      <c r="C87" t="s">
        <v>7</v>
      </c>
      <c r="D87" t="s">
        <v>32</v>
      </c>
      <c r="E87" t="s">
        <v>201</v>
      </c>
      <c r="F87" t="str">
        <f t="shared" si="7"/>
        <v>[Nome Completo]</v>
      </c>
      <c r="G87" t="s">
        <v>328</v>
      </c>
      <c r="H87" t="s">
        <v>809</v>
      </c>
      <c r="I87" t="s">
        <v>331</v>
      </c>
      <c r="J87" t="str">
        <f t="shared" si="11"/>
        <v>LEFT(CAST(PPESSOA.NOME AS VARCHAR), 70) AS [Nome Completo],</v>
      </c>
    </row>
    <row r="88" spans="1:10" x14ac:dyDescent="0.25">
      <c r="A88">
        <v>8</v>
      </c>
      <c r="B88" t="s">
        <v>2</v>
      </c>
      <c r="C88" t="s">
        <v>7</v>
      </c>
      <c r="D88" t="s">
        <v>32</v>
      </c>
      <c r="E88" t="s">
        <v>202</v>
      </c>
      <c r="F88" t="str">
        <f t="shared" si="7"/>
        <v>[Data de Expedição da Carteira de Habilitação]</v>
      </c>
      <c r="G88" t="s">
        <v>336</v>
      </c>
      <c r="H88" t="s">
        <v>809</v>
      </c>
      <c r="I88" t="s">
        <v>841</v>
      </c>
      <c r="J88" t="str">
        <f>"FORMAT("&amp;H88&amp;"."&amp;I88&amp;", 'ddMMyyyy') AS "&amp;F88&amp;","</f>
        <v>FORMAT(PPESSOA.DTEMISSAOCNH, 'ddMMyyyy') AS [Data de Expedição da Carteira de Habilitação],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sheetPr>
    <tabColor rgb="FFFFFF00"/>
  </sheetPr>
  <dimension ref="A1:J6"/>
  <sheetViews>
    <sheetView workbookViewId="0">
      <selection activeCell="J2" sqref="J2:J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t="s">
        <v>379</v>
      </c>
      <c r="I2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:J6" si="1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255</v>
      </c>
      <c r="F4" t="str">
        <f>"["&amp;E4&amp;"]"</f>
        <v>[Data da Transferência]</v>
      </c>
      <c r="G4" t="s">
        <v>336</v>
      </c>
      <c r="H4" t="s">
        <v>379</v>
      </c>
      <c r="I4" t="s">
        <v>808</v>
      </c>
      <c r="J4" t="str">
        <f t="shared" si="0"/>
        <v>LEFT(CAST(PFUNC.DATADEMISSAO AS DATE), 8) AS [Data da Transferência],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256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25">
      <c r="A6">
        <v>4</v>
      </c>
      <c r="B6" t="s">
        <v>6</v>
      </c>
      <c r="C6" t="s">
        <v>7</v>
      </c>
      <c r="D6" t="s">
        <v>8</v>
      </c>
      <c r="E6" t="s">
        <v>257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tabSelected="1" workbookViewId="0">
      <selection activeCell="G10" sqref="G10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  <col min="6" max="6" width="40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3:J20" si="2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241</v>
      </c>
      <c r="F4" t="str">
        <f t="shared" si="1"/>
        <v>[Data da Alteração]</v>
      </c>
      <c r="G4" t="s">
        <v>336</v>
      </c>
      <c r="H4" t="s">
        <v>802</v>
      </c>
      <c r="I4" t="s">
        <v>803</v>
      </c>
      <c r="J4" t="str">
        <f t="shared" si="0"/>
        <v>LEFT(CAST(PFHSTSAL.DTMUDANCA AS DATE), 8) AS [Data da Alteração],</v>
      </c>
    </row>
    <row r="5" spans="1:10" x14ac:dyDescent="0.25">
      <c r="A5">
        <v>1</v>
      </c>
      <c r="B5" t="s">
        <v>6</v>
      </c>
      <c r="D5" t="s">
        <v>8</v>
      </c>
      <c r="E5" t="s">
        <v>378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25">
      <c r="B6" t="s">
        <v>7</v>
      </c>
      <c r="D6" t="s">
        <v>7</v>
      </c>
      <c r="E6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25">
      <c r="B7" t="s">
        <v>7</v>
      </c>
      <c r="D7" t="s">
        <v>7</v>
      </c>
      <c r="E7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25">
      <c r="B8" t="s">
        <v>7</v>
      </c>
      <c r="D8" t="s">
        <v>7</v>
      </c>
      <c r="E8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25">
      <c r="B9" t="s">
        <v>7</v>
      </c>
      <c r="D9" t="s">
        <v>7</v>
      </c>
      <c r="E9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25">
      <c r="B10" t="s">
        <v>7</v>
      </c>
      <c r="D10" t="s">
        <v>7</v>
      </c>
      <c r="E10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25">
      <c r="B11" t="s">
        <v>7</v>
      </c>
      <c r="D11" t="s">
        <v>7</v>
      </c>
      <c r="E1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25">
      <c r="B12" t="s">
        <v>7</v>
      </c>
      <c r="D12" t="s">
        <v>7</v>
      </c>
      <c r="E12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25">
      <c r="A13">
        <v>11</v>
      </c>
      <c r="B13" t="s">
        <v>17</v>
      </c>
      <c r="C13">
        <v>2</v>
      </c>
      <c r="D13" t="s">
        <v>8</v>
      </c>
      <c r="E13" t="s">
        <v>33</v>
      </c>
      <c r="F13" t="str">
        <f t="shared" si="1"/>
        <v>[Salário Contratual, cfe. Tipo de Salário]</v>
      </c>
      <c r="G13" t="s">
        <v>806</v>
      </c>
      <c r="H13" t="s">
        <v>379</v>
      </c>
      <c r="I13" t="s">
        <v>804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25">
      <c r="A14">
        <v>5</v>
      </c>
      <c r="B14" t="s">
        <v>17</v>
      </c>
      <c r="C14">
        <v>2</v>
      </c>
      <c r="D14" t="s">
        <v>8</v>
      </c>
      <c r="E14" t="s">
        <v>796</v>
      </c>
      <c r="F14" t="str">
        <f t="shared" si="1"/>
        <v>[Horas Contratuais, cfe. Tipo de Salário. Informar Horas/Mês nos contratos
de horistas (tipo de salário “5”).]</v>
      </c>
      <c r="G14" t="s">
        <v>807</v>
      </c>
      <c r="H14" t="s">
        <v>379</v>
      </c>
      <c r="I14" t="s">
        <v>805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25">
      <c r="A15">
        <v>8</v>
      </c>
      <c r="B15" t="s">
        <v>6</v>
      </c>
      <c r="D15" t="s">
        <v>8</v>
      </c>
      <c r="E15" t="s">
        <v>58</v>
      </c>
      <c r="F15" t="str">
        <f t="shared" si="1"/>
        <v>[Código do Cargo, cfe. Tabela de Cargos]</v>
      </c>
      <c r="G15" t="s">
        <v>328</v>
      </c>
      <c r="J15" t="str">
        <f t="shared" si="2"/>
        <v>'' AS [Código do Cargo, cfe. Tabela de Cargos],</v>
      </c>
    </row>
    <row r="16" spans="1:10" x14ac:dyDescent="0.25">
      <c r="A16">
        <v>2</v>
      </c>
      <c r="B16" t="s">
        <v>6</v>
      </c>
      <c r="D16" t="s">
        <v>32</v>
      </c>
      <c r="E16" t="s">
        <v>797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25">
      <c r="A17">
        <v>1</v>
      </c>
      <c r="B17" t="s">
        <v>6</v>
      </c>
      <c r="D17" t="s">
        <v>8</v>
      </c>
      <c r="E17" t="s">
        <v>798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25">
      <c r="A18">
        <v>11</v>
      </c>
      <c r="B18" t="s">
        <v>17</v>
      </c>
      <c r="D18" t="s">
        <v>8</v>
      </c>
      <c r="E18" t="s">
        <v>799</v>
      </c>
      <c r="F18" t="str">
        <f t="shared" si="1"/>
        <v>[Salário Contratual Anterior (Se não houve alteração repita a informação atual) ]</v>
      </c>
      <c r="G18" t="s">
        <v>335</v>
      </c>
      <c r="H18" t="s">
        <v>802</v>
      </c>
      <c r="I18" t="s">
        <v>804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25">
      <c r="A19">
        <v>5</v>
      </c>
      <c r="B19" t="s">
        <v>17</v>
      </c>
      <c r="D19" t="s">
        <v>8</v>
      </c>
      <c r="E19" t="s">
        <v>800</v>
      </c>
      <c r="F19" t="str">
        <f t="shared" si="1"/>
        <v>[Horas Contatuais Anterior (Se não houve alteração repita a informação atual) ]</v>
      </c>
      <c r="G19" t="s">
        <v>335</v>
      </c>
      <c r="H19" t="s">
        <v>802</v>
      </c>
      <c r="I19" t="s">
        <v>805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25">
      <c r="A20">
        <v>8</v>
      </c>
      <c r="B20" t="s">
        <v>17</v>
      </c>
      <c r="D20" t="s">
        <v>8</v>
      </c>
      <c r="E20" t="s">
        <v>801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G2" sqref="G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37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328</v>
      </c>
      <c r="H2" s="1" t="s">
        <v>379</v>
      </c>
      <c r="I2" s="1" t="s">
        <v>784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249</v>
      </c>
      <c r="F4" t="str">
        <f t="shared" si="0"/>
        <v>[Data de Início de Gozo das Férias]</v>
      </c>
      <c r="G4" t="s">
        <v>336</v>
      </c>
      <c r="H4" t="s">
        <v>333</v>
      </c>
      <c r="I4" t="s">
        <v>338</v>
      </c>
      <c r="J4" t="str">
        <f t="shared" ref="J4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25">
      <c r="A5">
        <v>8</v>
      </c>
      <c r="B5" t="s">
        <v>2</v>
      </c>
      <c r="D5" t="s">
        <v>8</v>
      </c>
      <c r="E5" t="s">
        <v>250</v>
      </c>
      <c r="F5" t="str">
        <f t="shared" si="0"/>
        <v>[Data de Término de Gozo das Férias]</v>
      </c>
      <c r="G5" t="s">
        <v>336</v>
      </c>
      <c r="H5" t="s">
        <v>333</v>
      </c>
      <c r="I5" t="s">
        <v>339</v>
      </c>
      <c r="J5" t="str">
        <f t="shared" si="2"/>
        <v>LEFT(CAST(PFUFERIASPER.DATAFIM AS DATE), 8) AS [Data de Término de Gozo das Férias],</v>
      </c>
    </row>
    <row r="6" spans="1:10" x14ac:dyDescent="0.25">
      <c r="A6">
        <v>8</v>
      </c>
      <c r="B6" t="s">
        <v>2</v>
      </c>
      <c r="D6" t="s">
        <v>8</v>
      </c>
      <c r="E6" t="s">
        <v>251</v>
      </c>
      <c r="F6" t="str">
        <f t="shared" si="0"/>
        <v>[Data de Início do Período Aquisitivo]</v>
      </c>
      <c r="G6" t="s">
        <v>336</v>
      </c>
      <c r="H6" t="s">
        <v>334</v>
      </c>
      <c r="I6" t="s">
        <v>342</v>
      </c>
      <c r="J6" t="str">
        <f t="shared" si="2"/>
        <v>LEFT(CAST(PFUFERIAS.INICIOPERAQUIS AS DATE), 8) AS [Data de Início do Período Aquisitivo],</v>
      </c>
    </row>
    <row r="7" spans="1:10" x14ac:dyDescent="0.25">
      <c r="A7">
        <v>8</v>
      </c>
      <c r="B7" t="s">
        <v>2</v>
      </c>
      <c r="D7" t="s">
        <v>8</v>
      </c>
      <c r="E7" t="s">
        <v>252</v>
      </c>
      <c r="F7" t="str">
        <f t="shared" si="0"/>
        <v>[Data de Término do Período Aquisitivo]</v>
      </c>
      <c r="G7" t="s">
        <v>336</v>
      </c>
      <c r="H7" t="s">
        <v>334</v>
      </c>
      <c r="I7" t="s">
        <v>343</v>
      </c>
      <c r="J7" t="str">
        <f t="shared" si="2"/>
        <v>LEFT(CAST(PFUFERIAS.FIMPERAQUIS AS DATE), 8) AS [Data de Término do Período Aquisitivo],</v>
      </c>
    </row>
    <row r="8" spans="1:10" x14ac:dyDescent="0.25">
      <c r="A8">
        <v>4</v>
      </c>
      <c r="B8" t="s">
        <v>17</v>
      </c>
      <c r="C8">
        <v>2</v>
      </c>
      <c r="D8" t="s">
        <v>8</v>
      </c>
      <c r="E8" t="s">
        <v>253</v>
      </c>
      <c r="F8" t="str">
        <f t="shared" si="0"/>
        <v>[Dias de Férias Cedidos]</v>
      </c>
      <c r="G8" t="s">
        <v>337</v>
      </c>
      <c r="H8" t="s">
        <v>333</v>
      </c>
      <c r="I8" t="s">
        <v>341</v>
      </c>
      <c r="J8" t="str">
        <f t="shared" si="2"/>
        <v>LEFT(CAST(PFUFERIASPER.NRODIASFERIAS AS DECIMAL(10,2)), 4) AS [Dias de Férias Cedidos],</v>
      </c>
    </row>
    <row r="9" spans="1:10" x14ac:dyDescent="0.25">
      <c r="A9">
        <v>4</v>
      </c>
      <c r="B9" t="s">
        <v>17</v>
      </c>
      <c r="C9">
        <v>2</v>
      </c>
      <c r="D9" t="s">
        <v>8</v>
      </c>
      <c r="E9" t="s">
        <v>254</v>
      </c>
      <c r="F9" t="str">
        <f t="shared" si="0"/>
        <v>[Dias de Abono Cedidos]</v>
      </c>
      <c r="G9" t="s">
        <v>337</v>
      </c>
      <c r="H9" t="s">
        <v>333</v>
      </c>
      <c r="I9" t="s">
        <v>340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E2" sqref="E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3.28515625" bestFit="1" customWidth="1"/>
    <col min="8" max="8" width="9.7109375" bestFit="1" customWidth="1"/>
    <col min="9" max="9" width="14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785</v>
      </c>
      <c r="I2" t="s">
        <v>783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335</v>
      </c>
      <c r="H3" t="s">
        <v>379</v>
      </c>
      <c r="I3" t="s">
        <v>782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25">
      <c r="A4">
        <v>2</v>
      </c>
      <c r="B4" t="s">
        <v>17</v>
      </c>
      <c r="C4" t="s">
        <v>7</v>
      </c>
      <c r="D4" t="s">
        <v>8</v>
      </c>
      <c r="E4" t="s">
        <v>258</v>
      </c>
      <c r="F4" t="str">
        <f t="shared" si="0"/>
        <v>[Familiar (Número Sequencial), iniciando em “01” a cada Pessoa]</v>
      </c>
      <c r="G4" t="s">
        <v>335</v>
      </c>
      <c r="H4" t="s">
        <v>785</v>
      </c>
      <c r="I4" t="s">
        <v>786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25">
      <c r="A5">
        <v>40</v>
      </c>
      <c r="B5" t="s">
        <v>6</v>
      </c>
      <c r="C5" t="s">
        <v>7</v>
      </c>
      <c r="D5" t="s">
        <v>8</v>
      </c>
      <c r="E5" t="s">
        <v>259</v>
      </c>
      <c r="F5" t="str">
        <f t="shared" si="0"/>
        <v>[Nome do Familiar]</v>
      </c>
      <c r="G5" t="s">
        <v>328</v>
      </c>
      <c r="H5" t="s">
        <v>785</v>
      </c>
      <c r="I5" t="s">
        <v>331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25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336</v>
      </c>
      <c r="H6" t="s">
        <v>785</v>
      </c>
      <c r="I6" t="s">
        <v>787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25">
      <c r="A7">
        <v>20</v>
      </c>
      <c r="B7" t="s">
        <v>6</v>
      </c>
      <c r="C7" t="s">
        <v>7</v>
      </c>
      <c r="D7" t="s">
        <v>32</v>
      </c>
      <c r="E7" t="s">
        <v>260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25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25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332</v>
      </c>
      <c r="G9" t="s">
        <v>328</v>
      </c>
      <c r="H9" t="s">
        <v>785</v>
      </c>
      <c r="I9" t="s">
        <v>788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130</v>
      </c>
    </row>
    <row r="12" spans="1:10" x14ac:dyDescent="0.25">
      <c r="A12">
        <v>1</v>
      </c>
      <c r="B12" t="s">
        <v>6</v>
      </c>
      <c r="C12" t="s">
        <v>7</v>
      </c>
      <c r="D12" t="s">
        <v>8</v>
      </c>
      <c r="E12" t="s">
        <v>261</v>
      </c>
      <c r="F12" t="str">
        <f t="shared" ref="F12" si="2">"["&amp;E12&amp;"]"</f>
        <v>[Grau de Parentesco:]</v>
      </c>
      <c r="G12" t="s">
        <v>328</v>
      </c>
      <c r="H12" t="s">
        <v>785</v>
      </c>
      <c r="I12" t="s">
        <v>789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262</v>
      </c>
      <c r="J13" t="str">
        <f t="shared" ref="J13:J39" si="3">"'' AS "&amp;F13&amp;","</f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263</v>
      </c>
      <c r="J14" t="str">
        <f t="shared" si="3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264</v>
      </c>
      <c r="J15" t="str">
        <f t="shared" si="3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265</v>
      </c>
      <c r="J16" t="str">
        <f t="shared" si="3"/>
        <v>'' AS ,</v>
      </c>
    </row>
    <row r="17" spans="1:10" hidden="1" x14ac:dyDescent="0.25">
      <c r="B17" t="s">
        <v>7</v>
      </c>
      <c r="C17" t="s">
        <v>7</v>
      </c>
      <c r="D17" t="s">
        <v>7</v>
      </c>
      <c r="E17" t="s">
        <v>266</v>
      </c>
      <c r="J17" t="str">
        <f t="shared" si="3"/>
        <v>'' AS ,</v>
      </c>
    </row>
    <row r="18" spans="1:10" hidden="1" x14ac:dyDescent="0.25">
      <c r="B18" t="s">
        <v>7</v>
      </c>
      <c r="C18" t="s">
        <v>7</v>
      </c>
      <c r="D18" t="s">
        <v>7</v>
      </c>
      <c r="E18" t="s">
        <v>267</v>
      </c>
      <c r="J18" t="str">
        <f t="shared" si="3"/>
        <v>'' AS ,</v>
      </c>
    </row>
    <row r="19" spans="1:10" hidden="1" x14ac:dyDescent="0.25">
      <c r="B19" t="s">
        <v>7</v>
      </c>
      <c r="C19" t="s">
        <v>7</v>
      </c>
      <c r="D19" t="s">
        <v>7</v>
      </c>
      <c r="E19" t="s">
        <v>268</v>
      </c>
      <c r="J19" t="str">
        <f t="shared" si="3"/>
        <v>'' AS ,</v>
      </c>
    </row>
    <row r="20" spans="1:10" hidden="1" x14ac:dyDescent="0.25">
      <c r="B20" t="s">
        <v>7</v>
      </c>
      <c r="C20" t="s">
        <v>7</v>
      </c>
      <c r="D20" t="s">
        <v>7</v>
      </c>
      <c r="E20" t="s">
        <v>269</v>
      </c>
      <c r="J20" t="str">
        <f t="shared" si="3"/>
        <v>'' AS ,</v>
      </c>
    </row>
    <row r="21" spans="1:10" hidden="1" x14ac:dyDescent="0.25">
      <c r="B21" t="s">
        <v>7</v>
      </c>
      <c r="C21" t="s">
        <v>7</v>
      </c>
      <c r="D21" t="s">
        <v>7</v>
      </c>
      <c r="E21" t="s">
        <v>270</v>
      </c>
      <c r="J21" t="str">
        <f t="shared" si="3"/>
        <v>'' AS ,</v>
      </c>
    </row>
    <row r="22" spans="1:10" hidden="1" x14ac:dyDescent="0.25">
      <c r="B22" t="s">
        <v>7</v>
      </c>
      <c r="C22" t="s">
        <v>7</v>
      </c>
      <c r="D22" t="s">
        <v>7</v>
      </c>
      <c r="E22" t="s">
        <v>271</v>
      </c>
      <c r="J22" t="str">
        <f t="shared" si="3"/>
        <v>'' AS ,</v>
      </c>
    </row>
    <row r="23" spans="1:10" hidden="1" x14ac:dyDescent="0.25">
      <c r="B23" t="s">
        <v>7</v>
      </c>
      <c r="C23" t="s">
        <v>7</v>
      </c>
      <c r="D23" t="s">
        <v>7</v>
      </c>
      <c r="E23" t="s">
        <v>272</v>
      </c>
      <c r="J23" t="str">
        <f t="shared" si="3"/>
        <v>'' AS ,</v>
      </c>
    </row>
    <row r="24" spans="1:10" hidden="1" x14ac:dyDescent="0.25">
      <c r="B24" t="s">
        <v>7</v>
      </c>
      <c r="C24" t="s">
        <v>7</v>
      </c>
      <c r="D24" t="s">
        <v>7</v>
      </c>
      <c r="E24" t="s">
        <v>273</v>
      </c>
      <c r="J24" t="str">
        <f t="shared" si="3"/>
        <v>'' AS ,</v>
      </c>
    </row>
    <row r="25" spans="1:10" hidden="1" x14ac:dyDescent="0.25">
      <c r="B25" t="s">
        <v>7</v>
      </c>
      <c r="C25" t="s">
        <v>7</v>
      </c>
      <c r="D25" t="s">
        <v>7</v>
      </c>
      <c r="E25" t="s">
        <v>274</v>
      </c>
      <c r="J25" t="str">
        <f t="shared" si="3"/>
        <v>'' AS ,</v>
      </c>
    </row>
    <row r="26" spans="1:10" x14ac:dyDescent="0.25">
      <c r="A26">
        <v>1</v>
      </c>
      <c r="B26" t="s">
        <v>6</v>
      </c>
      <c r="C26" t="s">
        <v>7</v>
      </c>
      <c r="D26" t="s">
        <v>8</v>
      </c>
      <c r="E26" t="s">
        <v>275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25">
      <c r="B27" t="s">
        <v>7</v>
      </c>
      <c r="C27" t="s">
        <v>7</v>
      </c>
      <c r="D27" t="s">
        <v>7</v>
      </c>
      <c r="E27" t="s">
        <v>276</v>
      </c>
      <c r="J27" t="str">
        <f t="shared" si="3"/>
        <v>'' AS ,</v>
      </c>
    </row>
    <row r="28" spans="1:10" hidden="1" x14ac:dyDescent="0.25">
      <c r="B28" t="s">
        <v>7</v>
      </c>
      <c r="C28" t="s">
        <v>7</v>
      </c>
      <c r="D28" t="s">
        <v>7</v>
      </c>
      <c r="E28" t="s">
        <v>277</v>
      </c>
      <c r="J28" t="str">
        <f t="shared" si="3"/>
        <v>'' AS ,</v>
      </c>
    </row>
    <row r="29" spans="1:10" hidden="1" x14ac:dyDescent="0.25">
      <c r="B29" t="s">
        <v>7</v>
      </c>
      <c r="C29" t="s">
        <v>7</v>
      </c>
      <c r="D29" t="s">
        <v>7</v>
      </c>
      <c r="E29" t="s">
        <v>278</v>
      </c>
      <c r="J29" t="str">
        <f t="shared" si="3"/>
        <v>'' AS ,</v>
      </c>
    </row>
    <row r="30" spans="1:10" hidden="1" x14ac:dyDescent="0.25">
      <c r="B30" t="s">
        <v>7</v>
      </c>
      <c r="C30" t="s">
        <v>7</v>
      </c>
      <c r="D30" t="s">
        <v>7</v>
      </c>
      <c r="E30" t="s">
        <v>279</v>
      </c>
      <c r="J30" t="str">
        <f t="shared" si="3"/>
        <v>'' AS ,</v>
      </c>
    </row>
    <row r="31" spans="1:10" hidden="1" x14ac:dyDescent="0.25">
      <c r="B31" t="s">
        <v>7</v>
      </c>
      <c r="C31" t="s">
        <v>7</v>
      </c>
      <c r="D31" t="s">
        <v>7</v>
      </c>
      <c r="E31" t="s">
        <v>280</v>
      </c>
      <c r="J31" t="str">
        <f t="shared" si="3"/>
        <v>'' AS ,</v>
      </c>
    </row>
    <row r="32" spans="1:10" hidden="1" x14ac:dyDescent="0.25">
      <c r="B32" t="s">
        <v>7</v>
      </c>
      <c r="C32" t="s">
        <v>7</v>
      </c>
      <c r="D32" t="s">
        <v>7</v>
      </c>
      <c r="E32" t="s">
        <v>281</v>
      </c>
      <c r="J32" t="str">
        <f t="shared" si="3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282</v>
      </c>
      <c r="J33" t="str">
        <f t="shared" si="3"/>
        <v>'' AS ,</v>
      </c>
    </row>
    <row r="34" spans="1:10" x14ac:dyDescent="0.25">
      <c r="A34">
        <v>1</v>
      </c>
      <c r="B34" t="s">
        <v>6</v>
      </c>
      <c r="C34" t="s">
        <v>7</v>
      </c>
      <c r="D34" t="s">
        <v>8</v>
      </c>
      <c r="E34" t="s">
        <v>283</v>
      </c>
      <c r="F34" t="str">
        <f t="shared" ref="F34" si="5">"["&amp;E34&amp;"]"</f>
        <v>[Dependente para Salário Família:]</v>
      </c>
      <c r="G34" t="s">
        <v>328</v>
      </c>
      <c r="H34" t="s">
        <v>785</v>
      </c>
      <c r="I34" t="s">
        <v>790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25">
      <c r="B35" t="s">
        <v>7</v>
      </c>
      <c r="C35" t="s">
        <v>7</v>
      </c>
      <c r="D35" t="s">
        <v>7</v>
      </c>
      <c r="E35" t="s">
        <v>284</v>
      </c>
      <c r="J35" t="str">
        <f t="shared" si="3"/>
        <v>'' AS ,</v>
      </c>
    </row>
    <row r="36" spans="1:10" hidden="1" x14ac:dyDescent="0.25">
      <c r="B36" t="s">
        <v>7</v>
      </c>
      <c r="C36" t="s">
        <v>7</v>
      </c>
      <c r="D36" t="s">
        <v>7</v>
      </c>
      <c r="E36" t="s">
        <v>285</v>
      </c>
      <c r="J36" t="str">
        <f t="shared" si="3"/>
        <v>'' AS ,</v>
      </c>
    </row>
    <row r="37" spans="1:10" x14ac:dyDescent="0.25">
      <c r="A37">
        <v>1</v>
      </c>
      <c r="B37" t="s">
        <v>6</v>
      </c>
      <c r="C37" t="s">
        <v>7</v>
      </c>
      <c r="D37" t="s">
        <v>8</v>
      </c>
      <c r="E37" t="s">
        <v>286</v>
      </c>
      <c r="F37" t="str">
        <f t="shared" ref="F37" si="6">"["&amp;E37&amp;"]"</f>
        <v>[Dependente para o IRF:]</v>
      </c>
      <c r="G37" t="s">
        <v>328</v>
      </c>
      <c r="H37" t="s">
        <v>785</v>
      </c>
      <c r="I37" t="s">
        <v>791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25">
      <c r="B38" t="s">
        <v>7</v>
      </c>
      <c r="C38" t="s">
        <v>7</v>
      </c>
      <c r="D38" t="s">
        <v>7</v>
      </c>
      <c r="E38" t="s">
        <v>284</v>
      </c>
      <c r="J38" t="str">
        <f t="shared" si="3"/>
        <v>'' AS ,</v>
      </c>
    </row>
    <row r="39" spans="1:10" hidden="1" x14ac:dyDescent="0.25">
      <c r="B39" t="s">
        <v>7</v>
      </c>
      <c r="C39" t="s">
        <v>7</v>
      </c>
      <c r="D39" t="s">
        <v>7</v>
      </c>
      <c r="E39" t="s">
        <v>285</v>
      </c>
      <c r="J39" t="str">
        <f t="shared" si="3"/>
        <v>'' AS ,</v>
      </c>
    </row>
    <row r="40" spans="1:10" x14ac:dyDescent="0.25">
      <c r="A40">
        <v>1</v>
      </c>
      <c r="B40" t="s">
        <v>6</v>
      </c>
      <c r="C40" t="s">
        <v>7</v>
      </c>
      <c r="D40" t="s">
        <v>8</v>
      </c>
      <c r="E40" t="s">
        <v>287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25">
      <c r="B41" t="s">
        <v>7</v>
      </c>
      <c r="C41" t="s">
        <v>7</v>
      </c>
      <c r="D41" t="s">
        <v>7</v>
      </c>
      <c r="E41" t="s">
        <v>284</v>
      </c>
    </row>
    <row r="42" spans="1:10" hidden="1" x14ac:dyDescent="0.25">
      <c r="B42" t="s">
        <v>7</v>
      </c>
      <c r="C42" t="s">
        <v>7</v>
      </c>
      <c r="D42" t="s">
        <v>7</v>
      </c>
      <c r="E42" t="s">
        <v>285</v>
      </c>
    </row>
    <row r="43" spans="1:10" x14ac:dyDescent="0.25">
      <c r="A43">
        <v>10</v>
      </c>
      <c r="B43" t="s">
        <v>6</v>
      </c>
      <c r="C43" t="s">
        <v>7</v>
      </c>
      <c r="D43" t="s">
        <v>32</v>
      </c>
      <c r="E43" t="s">
        <v>288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25">
      <c r="A44">
        <v>10</v>
      </c>
      <c r="B44" t="s">
        <v>6</v>
      </c>
      <c r="C44" t="s">
        <v>7</v>
      </c>
      <c r="D44" t="s">
        <v>32</v>
      </c>
      <c r="E44" t="s">
        <v>289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25">
      <c r="A45">
        <v>5</v>
      </c>
      <c r="B45" t="s">
        <v>6</v>
      </c>
      <c r="C45" t="s">
        <v>7</v>
      </c>
      <c r="D45" t="s">
        <v>32</v>
      </c>
      <c r="E45" t="s">
        <v>290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25">
      <c r="A46">
        <v>5</v>
      </c>
      <c r="B46" t="s">
        <v>6</v>
      </c>
      <c r="C46" t="s">
        <v>7</v>
      </c>
      <c r="D46" t="s">
        <v>32</v>
      </c>
      <c r="E46" t="s">
        <v>291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25">
      <c r="A47">
        <v>8</v>
      </c>
      <c r="B47" t="s">
        <v>2</v>
      </c>
      <c r="C47" t="s">
        <v>7</v>
      </c>
      <c r="D47" t="s">
        <v>32</v>
      </c>
      <c r="E47" t="s">
        <v>292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25">
      <c r="A48">
        <v>8</v>
      </c>
      <c r="B48" t="s">
        <v>2</v>
      </c>
      <c r="C48" t="s">
        <v>7</v>
      </c>
      <c r="D48" t="s">
        <v>32</v>
      </c>
      <c r="E48" t="s">
        <v>293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25">
      <c r="A49">
        <v>2</v>
      </c>
      <c r="B49" t="s">
        <v>6</v>
      </c>
      <c r="C49" t="s">
        <v>7</v>
      </c>
      <c r="D49" t="s">
        <v>32</v>
      </c>
      <c r="E49" t="s">
        <v>166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25">
      <c r="B50" t="s">
        <v>7</v>
      </c>
      <c r="C50" t="s">
        <v>7</v>
      </c>
      <c r="D50" t="s">
        <v>7</v>
      </c>
      <c r="E50" t="s">
        <v>167</v>
      </c>
      <c r="J50" t="str">
        <f t="shared" si="9"/>
        <v>'' AS ,</v>
      </c>
    </row>
    <row r="51" spans="1:10" hidden="1" x14ac:dyDescent="0.25">
      <c r="B51" t="s">
        <v>7</v>
      </c>
      <c r="C51" t="s">
        <v>7</v>
      </c>
      <c r="D51" t="s">
        <v>7</v>
      </c>
      <c r="E51" t="s">
        <v>168</v>
      </c>
      <c r="J51" t="str">
        <f t="shared" si="9"/>
        <v>'' AS ,</v>
      </c>
    </row>
    <row r="52" spans="1:10" hidden="1" x14ac:dyDescent="0.25">
      <c r="B52" t="s">
        <v>7</v>
      </c>
      <c r="C52" t="s">
        <v>7</v>
      </c>
      <c r="D52" t="s">
        <v>7</v>
      </c>
      <c r="E52" t="s">
        <v>169</v>
      </c>
      <c r="J52" t="str">
        <f t="shared" si="9"/>
        <v>'' AS ,</v>
      </c>
    </row>
    <row r="53" spans="1:10" hidden="1" x14ac:dyDescent="0.25">
      <c r="B53" t="s">
        <v>7</v>
      </c>
      <c r="C53" t="s">
        <v>7</v>
      </c>
      <c r="D53" t="s">
        <v>7</v>
      </c>
      <c r="E53" t="s">
        <v>170</v>
      </c>
      <c r="J53" t="str">
        <f t="shared" si="9"/>
        <v>'' AS ,</v>
      </c>
    </row>
    <row r="54" spans="1:10" hidden="1" x14ac:dyDescent="0.25">
      <c r="B54" t="s">
        <v>7</v>
      </c>
      <c r="C54" t="s">
        <v>7</v>
      </c>
      <c r="D54" t="s">
        <v>7</v>
      </c>
      <c r="E54" t="s">
        <v>171</v>
      </c>
      <c r="J54" t="str">
        <f t="shared" si="9"/>
        <v>'' AS ,</v>
      </c>
    </row>
    <row r="55" spans="1:10" hidden="1" x14ac:dyDescent="0.25">
      <c r="B55" t="s">
        <v>7</v>
      </c>
      <c r="C55" t="s">
        <v>7</v>
      </c>
      <c r="D55" t="s">
        <v>7</v>
      </c>
      <c r="E55" t="s">
        <v>294</v>
      </c>
      <c r="J55" t="str">
        <f t="shared" si="9"/>
        <v>'' AS ,</v>
      </c>
    </row>
    <row r="56" spans="1:10" hidden="1" x14ac:dyDescent="0.25">
      <c r="B56" t="s">
        <v>7</v>
      </c>
      <c r="C56" t="s">
        <v>7</v>
      </c>
      <c r="D56" t="s">
        <v>7</v>
      </c>
      <c r="E56" t="s">
        <v>295</v>
      </c>
      <c r="J56" t="str">
        <f t="shared" si="9"/>
        <v>'' AS ,</v>
      </c>
    </row>
    <row r="57" spans="1:10" hidden="1" x14ac:dyDescent="0.25">
      <c r="B57" t="s">
        <v>7</v>
      </c>
      <c r="C57" t="s">
        <v>7</v>
      </c>
      <c r="D57" t="s">
        <v>7</v>
      </c>
      <c r="E57" t="s">
        <v>296</v>
      </c>
      <c r="J57" t="str">
        <f t="shared" si="9"/>
        <v>'' AS ,</v>
      </c>
    </row>
    <row r="58" spans="1:10" x14ac:dyDescent="0.25">
      <c r="A58">
        <v>11</v>
      </c>
      <c r="B58" t="s">
        <v>6</v>
      </c>
      <c r="C58" t="s">
        <v>7</v>
      </c>
      <c r="D58" t="s">
        <v>32</v>
      </c>
      <c r="E58" t="s">
        <v>155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25">
      <c r="A59">
        <v>2</v>
      </c>
      <c r="B59" t="s">
        <v>6</v>
      </c>
      <c r="C59" t="s">
        <v>7</v>
      </c>
      <c r="D59" t="s">
        <v>32</v>
      </c>
      <c r="E59" t="s">
        <v>297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25">
      <c r="B60" t="s">
        <v>7</v>
      </c>
      <c r="C60" t="s">
        <v>7</v>
      </c>
      <c r="D60" t="s">
        <v>7</v>
      </c>
      <c r="E60" t="s">
        <v>172</v>
      </c>
      <c r="J60" t="str">
        <f t="shared" si="9"/>
        <v>'' AS ,</v>
      </c>
    </row>
    <row r="61" spans="1:10" hidden="1" x14ac:dyDescent="0.25">
      <c r="B61" t="s">
        <v>7</v>
      </c>
      <c r="C61" t="s">
        <v>7</v>
      </c>
      <c r="D61" t="s">
        <v>7</v>
      </c>
      <c r="E61" t="s">
        <v>173</v>
      </c>
      <c r="J61" t="str">
        <f t="shared" si="9"/>
        <v>'' AS ,</v>
      </c>
    </row>
    <row r="62" spans="1:10" hidden="1" x14ac:dyDescent="0.25">
      <c r="B62" t="s">
        <v>7</v>
      </c>
      <c r="C62" t="s">
        <v>7</v>
      </c>
      <c r="D62" t="s">
        <v>7</v>
      </c>
      <c r="E62" t="s">
        <v>174</v>
      </c>
      <c r="J62" t="str">
        <f t="shared" si="9"/>
        <v>'' AS ,</v>
      </c>
    </row>
    <row r="63" spans="1:10" hidden="1" x14ac:dyDescent="0.25">
      <c r="B63" t="s">
        <v>7</v>
      </c>
      <c r="C63" t="s">
        <v>7</v>
      </c>
      <c r="D63" t="s">
        <v>7</v>
      </c>
      <c r="E63" t="s">
        <v>175</v>
      </c>
      <c r="J63" t="str">
        <f t="shared" si="9"/>
        <v>'' AS ,</v>
      </c>
    </row>
    <row r="64" spans="1:10" hidden="1" x14ac:dyDescent="0.25">
      <c r="B64" t="s">
        <v>7</v>
      </c>
      <c r="C64" t="s">
        <v>7</v>
      </c>
      <c r="D64" t="s">
        <v>7</v>
      </c>
      <c r="E64" t="s">
        <v>176</v>
      </c>
      <c r="J64" t="str">
        <f t="shared" si="9"/>
        <v>'' AS ,</v>
      </c>
    </row>
    <row r="65" spans="1:10" hidden="1" x14ac:dyDescent="0.25">
      <c r="B65" t="s">
        <v>7</v>
      </c>
      <c r="C65" t="s">
        <v>7</v>
      </c>
      <c r="D65" t="s">
        <v>7</v>
      </c>
      <c r="E65" t="s">
        <v>177</v>
      </c>
      <c r="J65" t="str">
        <f t="shared" si="9"/>
        <v>'' AS ,</v>
      </c>
    </row>
    <row r="66" spans="1:10" hidden="1" x14ac:dyDescent="0.25">
      <c r="B66" t="s">
        <v>7</v>
      </c>
      <c r="C66" t="s">
        <v>7</v>
      </c>
      <c r="D66" t="s">
        <v>7</v>
      </c>
      <c r="E66" t="s">
        <v>178</v>
      </c>
      <c r="J66" t="str">
        <f t="shared" si="9"/>
        <v>'' AS ,</v>
      </c>
    </row>
    <row r="67" spans="1:10" hidden="1" x14ac:dyDescent="0.25">
      <c r="B67" t="s">
        <v>7</v>
      </c>
      <c r="C67" t="s">
        <v>7</v>
      </c>
      <c r="D67" t="s">
        <v>7</v>
      </c>
      <c r="E67" t="s">
        <v>298</v>
      </c>
      <c r="J67" t="str">
        <f t="shared" si="9"/>
        <v>'' AS ,</v>
      </c>
    </row>
    <row r="68" spans="1:10" hidden="1" x14ac:dyDescent="0.25">
      <c r="B68" t="s">
        <v>7</v>
      </c>
      <c r="C68" t="s">
        <v>7</v>
      </c>
      <c r="D68" t="s">
        <v>7</v>
      </c>
      <c r="E68" t="s">
        <v>179</v>
      </c>
      <c r="J68" t="str">
        <f t="shared" si="9"/>
        <v>'' AS ,</v>
      </c>
    </row>
    <row r="69" spans="1:10" hidden="1" x14ac:dyDescent="0.25">
      <c r="B69" t="s">
        <v>7</v>
      </c>
      <c r="C69" t="s">
        <v>7</v>
      </c>
      <c r="D69" t="s">
        <v>7</v>
      </c>
      <c r="E69" t="s">
        <v>180</v>
      </c>
      <c r="J69" t="str">
        <f t="shared" si="9"/>
        <v>'' AS ,</v>
      </c>
    </row>
    <row r="70" spans="1:10" hidden="1" x14ac:dyDescent="0.25">
      <c r="B70" t="s">
        <v>7</v>
      </c>
      <c r="C70" t="s">
        <v>7</v>
      </c>
      <c r="D70" t="s">
        <v>7</v>
      </c>
      <c r="E70" t="s">
        <v>181</v>
      </c>
      <c r="J70" t="str">
        <f t="shared" si="9"/>
        <v>'' AS ,</v>
      </c>
    </row>
    <row r="71" spans="1:10" hidden="1" x14ac:dyDescent="0.25">
      <c r="B71" t="s">
        <v>7</v>
      </c>
      <c r="C71" t="s">
        <v>7</v>
      </c>
      <c r="D71" t="s">
        <v>7</v>
      </c>
      <c r="E71" t="s">
        <v>182</v>
      </c>
      <c r="J71" t="str">
        <f t="shared" si="9"/>
        <v>'' AS ,</v>
      </c>
    </row>
    <row r="72" spans="1:10" hidden="1" x14ac:dyDescent="0.25">
      <c r="B72" t="s">
        <v>7</v>
      </c>
      <c r="C72" t="s">
        <v>7</v>
      </c>
      <c r="D72" t="s">
        <v>7</v>
      </c>
      <c r="E72" t="s">
        <v>183</v>
      </c>
      <c r="J72" t="str">
        <f t="shared" si="9"/>
        <v>'' AS 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193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25">
      <c r="A74">
        <v>70</v>
      </c>
      <c r="B74" t="s">
        <v>6</v>
      </c>
      <c r="C74" t="s">
        <v>7</v>
      </c>
      <c r="D74" t="s">
        <v>32</v>
      </c>
      <c r="E74" t="s">
        <v>299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zoomScale="85" zoomScaleNormal="85" workbookViewId="0">
      <selection activeCell="E3" sqref="E3"/>
    </sheetView>
  </sheetViews>
  <sheetFormatPr defaultRowHeight="15" x14ac:dyDescent="0.25"/>
  <cols>
    <col min="1" max="1" width="6.28515625" bestFit="1" customWidth="1"/>
    <col min="2" max="2" width="4.42578125" bestFit="1" customWidth="1"/>
    <col min="3" max="3" width="4.7109375" bestFit="1" customWidth="1"/>
    <col min="4" max="4" width="7.7109375" bestFit="1" customWidth="1"/>
    <col min="5" max="5" width="80.85546875" bestFit="1" customWidth="1"/>
    <col min="6" max="6" width="10" bestFit="1" customWidth="1"/>
    <col min="7" max="7" width="9.5703125" bestFit="1" customWidth="1"/>
    <col min="8" max="8" width="15.5703125" bestFit="1" customWidth="1"/>
    <col min="9" max="9" width="17.7109375" bestFit="1" customWidth="1"/>
    <col min="10" max="10" width="5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329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328</v>
      </c>
      <c r="H2" t="s">
        <v>379</v>
      </c>
      <c r="I2" t="s">
        <v>783</v>
      </c>
      <c r="J2" t="str">
        <f t="shared" ref="J2:J5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H3" t="s">
        <v>379</v>
      </c>
      <c r="I3" t="s">
        <v>784</v>
      </c>
      <c r="J3" t="str">
        <f t="shared" si="0"/>
        <v>LEFT(CAST(PFUNC.CODFILIAL AS ), 4) AS [Código do Estabelecimento Atual, cfe. Tabela de Estabelecimentos],</v>
      </c>
    </row>
    <row r="4" spans="1:10" x14ac:dyDescent="0.25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328</v>
      </c>
      <c r="H4" t="s">
        <v>379</v>
      </c>
      <c r="I4" t="s">
        <v>857</v>
      </c>
      <c r="J4" t="str">
        <f t="shared" si="0"/>
        <v>LEFT(CAST(PFUNC.CODSECAO AS VARCHAR), 4) AS [Código da Unidade, cfe. Tabela de Unidades],</v>
      </c>
    </row>
    <row r="5" spans="1:10" x14ac:dyDescent="0.25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G5" t="s">
        <v>335</v>
      </c>
      <c r="H5" t="s">
        <v>379</v>
      </c>
      <c r="I5" t="s">
        <v>851</v>
      </c>
      <c r="J5" t="str">
        <f t="shared" si="0"/>
        <v>LEFT(CAST(PFUNC.CHAPA AS INTEGER), 8) AS [Código do Contrato],</v>
      </c>
    </row>
    <row r="6" spans="1:10" x14ac:dyDescent="0.25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335</v>
      </c>
      <c r="H6" t="s">
        <v>379</v>
      </c>
      <c r="I6" t="s">
        <v>782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25">
      <c r="A7">
        <v>1</v>
      </c>
      <c r="B7" t="s">
        <v>6</v>
      </c>
      <c r="D7" t="s">
        <v>8</v>
      </c>
      <c r="E7" t="s">
        <v>792</v>
      </c>
      <c r="F7" t="str">
        <f t="shared" si="1"/>
        <v>[Situação:]</v>
      </c>
      <c r="G7" t="s">
        <v>328</v>
      </c>
      <c r="H7" t="s">
        <v>379</v>
      </c>
      <c r="I7" t="s">
        <v>380</v>
      </c>
      <c r="J7" t="str">
        <f t="shared" si="2"/>
        <v>LEFT(CAST(PFUNC.CODSITUACAO AS VARCHAR), 1) AS [Situação:],</v>
      </c>
    </row>
    <row r="8" spans="1:10" x14ac:dyDescent="0.25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x14ac:dyDescent="0.25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x14ac:dyDescent="0.25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x14ac:dyDescent="0.25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25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336</v>
      </c>
      <c r="H12" t="s">
        <v>379</v>
      </c>
      <c r="I12" t="s">
        <v>381</v>
      </c>
      <c r="J12" t="str">
        <f t="shared" si="2"/>
        <v>LEFT(CAST(PFUNC.DATAADMISSAO AS DATE), 8) AS [Data de Admissão],</v>
      </c>
    </row>
    <row r="13" spans="1:10" x14ac:dyDescent="0.25">
      <c r="A13">
        <v>1</v>
      </c>
      <c r="B13" t="s">
        <v>6</v>
      </c>
      <c r="D13" t="s">
        <v>8</v>
      </c>
      <c r="E13" t="s">
        <v>793</v>
      </c>
      <c r="F13" t="str">
        <f t="shared" si="1"/>
        <v>[Tipo de Salário:]</v>
      </c>
      <c r="G13" t="s">
        <v>328</v>
      </c>
      <c r="H13" t="s">
        <v>379</v>
      </c>
      <c r="I13" t="s">
        <v>382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x14ac:dyDescent="0.25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x14ac:dyDescent="0.25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x14ac:dyDescent="0.25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x14ac:dyDescent="0.25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x14ac:dyDescent="0.25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x14ac:dyDescent="0.25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x14ac:dyDescent="0.25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25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25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25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25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25">
      <c r="A25">
        <v>2</v>
      </c>
      <c r="B25" t="s">
        <v>6</v>
      </c>
      <c r="D25" t="s">
        <v>32</v>
      </c>
      <c r="E25" t="s">
        <v>794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x14ac:dyDescent="0.25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x14ac:dyDescent="0.25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x14ac:dyDescent="0.25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x14ac:dyDescent="0.25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x14ac:dyDescent="0.25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x14ac:dyDescent="0.25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x14ac:dyDescent="0.25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x14ac:dyDescent="0.25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x14ac:dyDescent="0.25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25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335</v>
      </c>
      <c r="H35" t="s">
        <v>379</v>
      </c>
      <c r="I35" t="s">
        <v>779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25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335</v>
      </c>
      <c r="H36" t="s">
        <v>379</v>
      </c>
      <c r="I36" t="s">
        <v>778</v>
      </c>
      <c r="J36" t="str">
        <f t="shared" si="5"/>
        <v>LEFT(CAST(PFUNC.CODAGENCIAPAGTO AS INTEGER), 4) AS [Agencia Bancária do Funcionário],</v>
      </c>
    </row>
    <row r="37" spans="1:10" x14ac:dyDescent="0.25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335</v>
      </c>
      <c r="H37" t="s">
        <v>379</v>
      </c>
      <c r="I37" t="s">
        <v>778</v>
      </c>
      <c r="J37" t="str">
        <f t="shared" si="5"/>
        <v>LEFT(CAST(PFUNC.CODAGENCIAPAGTO AS INTEGER), 1) AS [Dígito da Agência Bancária do Funcionário],</v>
      </c>
    </row>
    <row r="38" spans="1:10" x14ac:dyDescent="0.25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328</v>
      </c>
      <c r="H38" t="s">
        <v>379</v>
      </c>
      <c r="I38" t="s">
        <v>780</v>
      </c>
      <c r="J38" t="str">
        <f t="shared" si="5"/>
        <v>LEFT(CAST(PFUNC.CONTAPAGAMENTO AS VARCHAR), 15) AS [Número/Dígito da Conta Corrente],</v>
      </c>
    </row>
    <row r="39" spans="1:10" x14ac:dyDescent="0.25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25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25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25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25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25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25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25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336</v>
      </c>
      <c r="H46" t="s">
        <v>379</v>
      </c>
      <c r="I46" t="s">
        <v>781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25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25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328</v>
      </c>
      <c r="H48" t="s">
        <v>379</v>
      </c>
      <c r="I48" t="s">
        <v>383</v>
      </c>
      <c r="J48" t="str">
        <f t="shared" si="7"/>
        <v>LEFT(CAST(PFUNC.MATRICULAESOCIAL AS VARCHAR), 30) AS [Matrícula para o eSocial],</v>
      </c>
    </row>
    <row r="49" spans="1:10" x14ac:dyDescent="0.25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x14ac:dyDescent="0.25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x14ac:dyDescent="0.25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25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x14ac:dyDescent="0.25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x14ac:dyDescent="0.25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x14ac:dyDescent="0.25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x14ac:dyDescent="0.25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x14ac:dyDescent="0.25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x14ac:dyDescent="0.25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x14ac:dyDescent="0.25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x14ac:dyDescent="0.25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x14ac:dyDescent="0.25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x14ac:dyDescent="0.25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x14ac:dyDescent="0.25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x14ac:dyDescent="0.25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x14ac:dyDescent="0.25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x14ac:dyDescent="0.25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x14ac:dyDescent="0.25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x14ac:dyDescent="0.25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x14ac:dyDescent="0.25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x14ac:dyDescent="0.25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x14ac:dyDescent="0.25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x14ac:dyDescent="0.25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x14ac:dyDescent="0.25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x14ac:dyDescent="0.25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x14ac:dyDescent="0.25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x14ac:dyDescent="0.25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x14ac:dyDescent="0.25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x14ac:dyDescent="0.25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x14ac:dyDescent="0.25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x14ac:dyDescent="0.25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x14ac:dyDescent="0.25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x14ac:dyDescent="0.25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x14ac:dyDescent="0.25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x14ac:dyDescent="0.25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x14ac:dyDescent="0.25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x14ac:dyDescent="0.25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x14ac:dyDescent="0.25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x14ac:dyDescent="0.25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x14ac:dyDescent="0.25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x14ac:dyDescent="0.25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x14ac:dyDescent="0.25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x14ac:dyDescent="0.25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x14ac:dyDescent="0.25">
      <c r="B93" t="s">
        <v>7</v>
      </c>
      <c r="D93" t="s">
        <v>7</v>
      </c>
      <c r="E93" t="s">
        <v>344</v>
      </c>
      <c r="F93" t="str">
        <f t="shared" si="8"/>
        <v>[1404 - Aprendiz - Falta Disciplinar Grave]</v>
      </c>
    </row>
    <row r="94" spans="2:6" x14ac:dyDescent="0.25">
      <c r="B94" t="s">
        <v>7</v>
      </c>
      <c r="D94" t="s">
        <v>7</v>
      </c>
      <c r="E94" t="s">
        <v>345</v>
      </c>
      <c r="F94" t="str">
        <f t="shared" si="8"/>
        <v>[1405 - Aprendiz - Ausência Injustific. à Escola]</v>
      </c>
    </row>
    <row r="95" spans="2:6" x14ac:dyDescent="0.25">
      <c r="B95" t="s">
        <v>7</v>
      </c>
      <c r="D95" t="s">
        <v>7</v>
      </c>
      <c r="E95" t="s">
        <v>346</v>
      </c>
      <c r="F95" t="str">
        <f t="shared" si="8"/>
        <v>[1406 - Aprendiz - A Pedido do Aprendiz]</v>
      </c>
    </row>
    <row r="96" spans="2:6" x14ac:dyDescent="0.25">
      <c r="B96" t="s">
        <v>7</v>
      </c>
      <c r="D96" t="s">
        <v>7</v>
      </c>
      <c r="E96" t="s">
        <v>347</v>
      </c>
      <c r="F96" t="str">
        <f t="shared" si="8"/>
        <v>[1407 - Aprendiz - Fechamento da Empresa]</v>
      </c>
    </row>
    <row r="97" spans="1:10" x14ac:dyDescent="0.25">
      <c r="B97" t="s">
        <v>7</v>
      </c>
      <c r="D97" t="s">
        <v>7</v>
      </c>
      <c r="E97" t="s">
        <v>348</v>
      </c>
      <c r="F97" t="str">
        <f t="shared" si="8"/>
        <v>[9999 - Outros Motivos de Rescisão]</v>
      </c>
    </row>
    <row r="98" spans="1:10" x14ac:dyDescent="0.25">
      <c r="A98">
        <v>8</v>
      </c>
      <c r="B98" t="s">
        <v>6</v>
      </c>
      <c r="D98" t="s">
        <v>8</v>
      </c>
      <c r="E98" t="s">
        <v>795</v>
      </c>
      <c r="F98" t="str">
        <f t="shared" si="8"/>
        <v>[Vínculo Empregatício:]</v>
      </c>
      <c r="G98" t="s">
        <v>328</v>
      </c>
      <c r="H98" t="s">
        <v>379</v>
      </c>
      <c r="I98" t="s">
        <v>777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x14ac:dyDescent="0.25">
      <c r="E99" t="s">
        <v>349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x14ac:dyDescent="0.25">
      <c r="B100" t="s">
        <v>7</v>
      </c>
      <c r="D100" t="s">
        <v>7</v>
      </c>
      <c r="E100" t="s">
        <v>350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x14ac:dyDescent="0.25">
      <c r="B101" t="s">
        <v>7</v>
      </c>
      <c r="D101" t="s">
        <v>7</v>
      </c>
      <c r="E101" t="s">
        <v>351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x14ac:dyDescent="0.25">
      <c r="B102" t="s">
        <v>7</v>
      </c>
      <c r="D102" t="s">
        <v>7</v>
      </c>
      <c r="E102" t="s">
        <v>352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x14ac:dyDescent="0.25">
      <c r="B103" t="s">
        <v>7</v>
      </c>
      <c r="D103" t="s">
        <v>7</v>
      </c>
      <c r="E103" t="s">
        <v>353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x14ac:dyDescent="0.25">
      <c r="B104" t="s">
        <v>7</v>
      </c>
      <c r="D104" t="s">
        <v>7</v>
      </c>
      <c r="E104" t="s">
        <v>354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x14ac:dyDescent="0.25">
      <c r="E105" t="s">
        <v>355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x14ac:dyDescent="0.25">
      <c r="B106" t="s">
        <v>7</v>
      </c>
      <c r="D106" t="s">
        <v>7</v>
      </c>
      <c r="E106" t="s">
        <v>356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x14ac:dyDescent="0.25">
      <c r="E107" t="s">
        <v>357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x14ac:dyDescent="0.25">
      <c r="E108" t="s">
        <v>358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x14ac:dyDescent="0.25">
      <c r="B109" t="s">
        <v>7</v>
      </c>
      <c r="D109" t="s">
        <v>7</v>
      </c>
      <c r="E109" t="s">
        <v>359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x14ac:dyDescent="0.25">
      <c r="E110" t="s">
        <v>360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x14ac:dyDescent="0.25">
      <c r="B111" t="s">
        <v>7</v>
      </c>
      <c r="D111" t="s">
        <v>7</v>
      </c>
      <c r="E111" t="s">
        <v>361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x14ac:dyDescent="0.25">
      <c r="B112" t="s">
        <v>7</v>
      </c>
      <c r="D112" t="s">
        <v>7</v>
      </c>
      <c r="E112" t="s">
        <v>362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x14ac:dyDescent="0.25">
      <c r="B113" t="s">
        <v>7</v>
      </c>
      <c r="D113" t="s">
        <v>7</v>
      </c>
      <c r="E113" t="s">
        <v>363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x14ac:dyDescent="0.25">
      <c r="B114" t="s">
        <v>7</v>
      </c>
      <c r="D114" t="s">
        <v>7</v>
      </c>
      <c r="E114" t="s">
        <v>364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x14ac:dyDescent="0.25">
      <c r="B115" t="s">
        <v>7</v>
      </c>
      <c r="D115" t="s">
        <v>7</v>
      </c>
      <c r="E115" t="s">
        <v>365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x14ac:dyDescent="0.25">
      <c r="B116" t="s">
        <v>7</v>
      </c>
      <c r="D116" t="s">
        <v>7</v>
      </c>
      <c r="E116" t="s">
        <v>366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x14ac:dyDescent="0.25">
      <c r="B117" t="s">
        <v>7</v>
      </c>
      <c r="D117" t="s">
        <v>7</v>
      </c>
      <c r="E117" t="s">
        <v>367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x14ac:dyDescent="0.25">
      <c r="B118" t="s">
        <v>7</v>
      </c>
      <c r="D118" t="s">
        <v>7</v>
      </c>
      <c r="E118" t="s">
        <v>368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x14ac:dyDescent="0.25">
      <c r="E119" t="s">
        <v>369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x14ac:dyDescent="0.25">
      <c r="E120" t="s">
        <v>370</v>
      </c>
      <c r="F120" t="str">
        <f t="shared" si="8"/>
        <v>[fiscal]</v>
      </c>
      <c r="J120" t="str">
        <f t="shared" si="9"/>
        <v>LEFT(CAST(. AS ), 0) AS [fiscal],</v>
      </c>
    </row>
    <row r="121" spans="2:10" x14ac:dyDescent="0.25">
      <c r="B121" t="s">
        <v>7</v>
      </c>
      <c r="D121" t="s">
        <v>7</v>
      </c>
      <c r="E121" t="s">
        <v>371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x14ac:dyDescent="0.25">
      <c r="E122" t="s">
        <v>372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x14ac:dyDescent="0.25">
      <c r="B123" t="s">
        <v>7</v>
      </c>
      <c r="D123" t="s">
        <v>7</v>
      </c>
      <c r="E123" t="s">
        <v>373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x14ac:dyDescent="0.25">
      <c r="E124" t="s">
        <v>374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x14ac:dyDescent="0.25">
      <c r="B125" t="s">
        <v>7</v>
      </c>
      <c r="D125" t="s">
        <v>7</v>
      </c>
      <c r="E125" t="s">
        <v>375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x14ac:dyDescent="0.25">
      <c r="E126" t="s">
        <v>376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x14ac:dyDescent="0.25">
      <c r="E127" t="s">
        <v>377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x14ac:dyDescent="0.25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x14ac:dyDescent="0.25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x14ac:dyDescent="0.25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x14ac:dyDescent="0.25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x14ac:dyDescent="0.25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x14ac:dyDescent="0.25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x14ac:dyDescent="0.25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x14ac:dyDescent="0.25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x14ac:dyDescent="0.25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x14ac:dyDescent="0.25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x14ac:dyDescent="0.25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x14ac:dyDescent="0.25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25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x14ac:dyDescent="0.25">
      <c r="B141" t="s">
        <v>7</v>
      </c>
      <c r="D141" t="s">
        <v>7</v>
      </c>
      <c r="E141" t="s">
        <v>117</v>
      </c>
    </row>
    <row r="142" spans="1:10" x14ac:dyDescent="0.25">
      <c r="B142" t="s">
        <v>7</v>
      </c>
      <c r="D142" t="s">
        <v>7</v>
      </c>
      <c r="E142" t="s">
        <v>118</v>
      </c>
    </row>
    <row r="143" spans="1:10" x14ac:dyDescent="0.25">
      <c r="B143" t="s">
        <v>7</v>
      </c>
      <c r="D143" t="s">
        <v>7</v>
      </c>
      <c r="E143" t="s">
        <v>119</v>
      </c>
    </row>
    <row r="144" spans="1:10" x14ac:dyDescent="0.25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16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321</v>
      </c>
      <c r="G1" t="s">
        <v>327</v>
      </c>
      <c r="H1" t="s">
        <v>324</v>
      </c>
      <c r="I1" t="s">
        <v>322</v>
      </c>
      <c r="J1" t="s">
        <v>326</v>
      </c>
    </row>
    <row r="2" spans="1:10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328</v>
      </c>
      <c r="H2" t="s">
        <v>323</v>
      </c>
      <c r="I2" t="s">
        <v>325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25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328</v>
      </c>
      <c r="H3" t="s">
        <v>323</v>
      </c>
      <c r="I3" t="s">
        <v>331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25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328</v>
      </c>
      <c r="H4" t="s">
        <v>323</v>
      </c>
      <c r="I4" t="s">
        <v>330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workbookViewId="0">
      <selection activeCell="B18" sqref="B18"/>
    </sheetView>
  </sheetViews>
  <sheetFormatPr defaultColWidth="9.140625" defaultRowHeight="13.5" x14ac:dyDescent="0.2"/>
  <cols>
    <col min="1" max="1" width="26.5703125" style="14" bestFit="1" customWidth="1"/>
    <col min="2" max="2" width="57.85546875" style="3" bestFit="1" customWidth="1"/>
    <col min="3" max="3" width="6.140625" style="3" customWidth="1"/>
    <col min="4" max="16384" width="9.140625" style="3"/>
  </cols>
  <sheetData>
    <row r="1" spans="1:2" x14ac:dyDescent="0.2">
      <c r="A1" s="2" t="s">
        <v>384</v>
      </c>
    </row>
    <row r="2" spans="1:2" x14ac:dyDescent="0.2">
      <c r="A2" s="4">
        <v>11</v>
      </c>
      <c r="B2" s="3" t="s">
        <v>385</v>
      </c>
    </row>
    <row r="3" spans="1:2" x14ac:dyDescent="0.2">
      <c r="A3" s="4">
        <v>21</v>
      </c>
      <c r="B3" s="3" t="s">
        <v>386</v>
      </c>
    </row>
    <row r="4" spans="1:2" x14ac:dyDescent="0.2">
      <c r="A4" s="4">
        <v>22</v>
      </c>
      <c r="B4" s="3" t="s">
        <v>387</v>
      </c>
    </row>
    <row r="5" spans="1:2" x14ac:dyDescent="0.2">
      <c r="A5" s="4">
        <v>31</v>
      </c>
      <c r="B5" s="3" t="s">
        <v>388</v>
      </c>
    </row>
    <row r="6" spans="1:2" x14ac:dyDescent="0.2">
      <c r="A6" s="4">
        <v>32</v>
      </c>
      <c r="B6" s="3" t="s">
        <v>389</v>
      </c>
    </row>
    <row r="7" spans="1:2" x14ac:dyDescent="0.2">
      <c r="A7" s="4">
        <v>33</v>
      </c>
      <c r="B7" s="3" t="s">
        <v>390</v>
      </c>
    </row>
    <row r="8" spans="1:2" x14ac:dyDescent="0.2">
      <c r="A8" s="4">
        <v>41</v>
      </c>
      <c r="B8" s="3" t="s">
        <v>391</v>
      </c>
    </row>
    <row r="9" spans="1:2" x14ac:dyDescent="0.2">
      <c r="A9" s="4">
        <v>51</v>
      </c>
      <c r="B9" s="3" t="s">
        <v>392</v>
      </c>
    </row>
    <row r="10" spans="1:2" x14ac:dyDescent="0.2">
      <c r="A10" s="4">
        <v>52</v>
      </c>
      <c r="B10" s="3" t="s">
        <v>393</v>
      </c>
    </row>
    <row r="11" spans="1:2" x14ac:dyDescent="0.2">
      <c r="A11" s="4">
        <v>61</v>
      </c>
      <c r="B11" s="3" t="s">
        <v>394</v>
      </c>
    </row>
    <row r="12" spans="1:2" x14ac:dyDescent="0.2">
      <c r="A12" s="4">
        <v>71</v>
      </c>
      <c r="B12" s="3" t="s">
        <v>395</v>
      </c>
    </row>
    <row r="13" spans="1:2" x14ac:dyDescent="0.2">
      <c r="A13" s="4">
        <v>81</v>
      </c>
      <c r="B13" s="3" t="s">
        <v>396</v>
      </c>
    </row>
    <row r="14" spans="1:2" x14ac:dyDescent="0.2">
      <c r="A14" s="4">
        <v>91</v>
      </c>
      <c r="B14" s="3" t="s">
        <v>397</v>
      </c>
    </row>
    <row r="15" spans="1:2" x14ac:dyDescent="0.2">
      <c r="A15" s="4">
        <v>92</v>
      </c>
      <c r="B15" s="3" t="s">
        <v>398</v>
      </c>
    </row>
    <row r="16" spans="1:2" x14ac:dyDescent="0.2">
      <c r="A16" s="4"/>
    </row>
    <row r="17" spans="1:2" x14ac:dyDescent="0.2">
      <c r="A17" s="2" t="s">
        <v>399</v>
      </c>
    </row>
    <row r="18" spans="1:2" x14ac:dyDescent="0.2">
      <c r="A18" s="4">
        <v>0</v>
      </c>
      <c r="B18" s="3" t="s">
        <v>400</v>
      </c>
    </row>
    <row r="19" spans="1:2" x14ac:dyDescent="0.2">
      <c r="A19" s="4">
        <v>1</v>
      </c>
      <c r="B19" s="3" t="s">
        <v>401</v>
      </c>
    </row>
    <row r="20" spans="1:2" x14ac:dyDescent="0.2">
      <c r="A20" s="4">
        <v>2</v>
      </c>
      <c r="B20" s="3" t="s">
        <v>402</v>
      </c>
    </row>
    <row r="21" spans="1:2" x14ac:dyDescent="0.2">
      <c r="A21" s="4">
        <v>3</v>
      </c>
      <c r="B21" s="3" t="s">
        <v>403</v>
      </c>
    </row>
    <row r="23" spans="1:2" x14ac:dyDescent="0.2">
      <c r="A23" s="2" t="s">
        <v>404</v>
      </c>
    </row>
    <row r="24" spans="1:2" x14ac:dyDescent="0.2">
      <c r="A24" s="5">
        <v>1</v>
      </c>
      <c r="B24" s="3" t="s">
        <v>405</v>
      </c>
    </row>
    <row r="25" spans="1:2" x14ac:dyDescent="0.2">
      <c r="A25" s="5">
        <v>2</v>
      </c>
      <c r="B25" s="3" t="s">
        <v>406</v>
      </c>
    </row>
    <row r="26" spans="1:2" x14ac:dyDescent="0.2">
      <c r="A26" s="5">
        <v>3</v>
      </c>
      <c r="B26" s="3" t="s">
        <v>407</v>
      </c>
    </row>
    <row r="27" spans="1:2" x14ac:dyDescent="0.2">
      <c r="A27" s="5">
        <v>4</v>
      </c>
      <c r="B27" s="3" t="s">
        <v>408</v>
      </c>
    </row>
    <row r="29" spans="1:2" x14ac:dyDescent="0.2">
      <c r="A29" s="2" t="s">
        <v>409</v>
      </c>
    </row>
    <row r="30" spans="1:2" x14ac:dyDescent="0.2">
      <c r="A30" s="4">
        <v>1</v>
      </c>
      <c r="B30" s="3" t="s">
        <v>410</v>
      </c>
    </row>
    <row r="31" spans="1:2" x14ac:dyDescent="0.2">
      <c r="A31" s="4">
        <v>2</v>
      </c>
      <c r="B31" s="3" t="s">
        <v>411</v>
      </c>
    </row>
    <row r="32" spans="1:2" x14ac:dyDescent="0.2">
      <c r="A32" s="4">
        <v>3</v>
      </c>
      <c r="B32" s="3" t="s">
        <v>412</v>
      </c>
    </row>
    <row r="33" spans="1:2" x14ac:dyDescent="0.2">
      <c r="A33" s="4">
        <v>4</v>
      </c>
      <c r="B33" s="3" t="s">
        <v>413</v>
      </c>
    </row>
    <row r="34" spans="1:2" x14ac:dyDescent="0.2">
      <c r="A34" s="4">
        <v>5</v>
      </c>
      <c r="B34" s="3" t="s">
        <v>414</v>
      </c>
    </row>
    <row r="35" spans="1:2" x14ac:dyDescent="0.2">
      <c r="A35" s="4">
        <v>6</v>
      </c>
      <c r="B35" s="3" t="s">
        <v>415</v>
      </c>
    </row>
    <row r="36" spans="1:2" x14ac:dyDescent="0.2">
      <c r="A36" s="4">
        <v>7</v>
      </c>
      <c r="B36" s="3" t="s">
        <v>416</v>
      </c>
    </row>
    <row r="38" spans="1:2" x14ac:dyDescent="0.2">
      <c r="A38" s="2" t="s">
        <v>417</v>
      </c>
    </row>
    <row r="39" spans="1:2" x14ac:dyDescent="0.2">
      <c r="A39" s="6" t="s">
        <v>418</v>
      </c>
      <c r="B39" s="3" t="s">
        <v>419</v>
      </c>
    </row>
    <row r="40" spans="1:2" x14ac:dyDescent="0.2">
      <c r="A40" s="6" t="s">
        <v>420</v>
      </c>
      <c r="B40" s="3" t="s">
        <v>421</v>
      </c>
    </row>
    <row r="41" spans="1:2" x14ac:dyDescent="0.2">
      <c r="A41" s="6" t="s">
        <v>422</v>
      </c>
      <c r="B41" s="3" t="s">
        <v>423</v>
      </c>
    </row>
    <row r="42" spans="1:2" x14ac:dyDescent="0.2">
      <c r="A42" s="6" t="s">
        <v>424</v>
      </c>
      <c r="B42" s="3" t="s">
        <v>425</v>
      </c>
    </row>
    <row r="43" spans="1:2" x14ac:dyDescent="0.2">
      <c r="A43" s="6" t="s">
        <v>426</v>
      </c>
      <c r="B43" s="3" t="s">
        <v>427</v>
      </c>
    </row>
    <row r="44" spans="1:2" x14ac:dyDescent="0.2">
      <c r="A44" s="6" t="s">
        <v>428</v>
      </c>
      <c r="B44" s="3" t="s">
        <v>429</v>
      </c>
    </row>
    <row r="45" spans="1:2" x14ac:dyDescent="0.2">
      <c r="A45" s="6" t="s">
        <v>430</v>
      </c>
      <c r="B45" s="3" t="s">
        <v>431</v>
      </c>
    </row>
    <row r="46" spans="1:2" x14ac:dyDescent="0.2">
      <c r="A46" s="6" t="s">
        <v>432</v>
      </c>
      <c r="B46" s="3" t="s">
        <v>433</v>
      </c>
    </row>
    <row r="47" spans="1:2" x14ac:dyDescent="0.2">
      <c r="A47" s="6" t="s">
        <v>434</v>
      </c>
      <c r="B47" s="3" t="s">
        <v>435</v>
      </c>
    </row>
    <row r="50" spans="1:7" ht="14.25" x14ac:dyDescent="0.2">
      <c r="A50" s="7" t="s">
        <v>436</v>
      </c>
      <c r="B50" s="8"/>
      <c r="C50" s="9"/>
      <c r="D50" s="10"/>
      <c r="E50" s="10"/>
      <c r="F50" s="10"/>
      <c r="G50" s="11"/>
    </row>
    <row r="51" spans="1:7" ht="40.5" x14ac:dyDescent="0.2">
      <c r="A51" s="12" t="s">
        <v>437</v>
      </c>
      <c r="B51" s="8" t="s">
        <v>438</v>
      </c>
      <c r="C51" s="13"/>
      <c r="D51" s="10"/>
      <c r="E51" s="13"/>
      <c r="F51" s="10"/>
      <c r="G51" s="11"/>
    </row>
    <row r="52" spans="1:7" x14ac:dyDescent="0.2">
      <c r="A52" s="12" t="s">
        <v>439</v>
      </c>
      <c r="B52" s="8" t="s">
        <v>440</v>
      </c>
      <c r="C52" s="13"/>
      <c r="D52" s="10"/>
      <c r="E52" s="13"/>
      <c r="F52" s="10"/>
      <c r="G52" s="11"/>
    </row>
    <row r="53" spans="1:7" ht="27" x14ac:dyDescent="0.2">
      <c r="A53" s="12" t="s">
        <v>441</v>
      </c>
      <c r="B53" s="8" t="s">
        <v>442</v>
      </c>
      <c r="C53" s="13"/>
      <c r="D53" s="10"/>
      <c r="E53" s="13"/>
      <c r="F53" s="10"/>
      <c r="G53" s="11"/>
    </row>
    <row r="54" spans="1:7" x14ac:dyDescent="0.2">
      <c r="A54" s="12" t="s">
        <v>443</v>
      </c>
      <c r="B54" s="8" t="s">
        <v>444</v>
      </c>
      <c r="C54" s="13"/>
      <c r="D54" s="10"/>
      <c r="E54" s="13"/>
      <c r="F54" s="10"/>
      <c r="G54" s="11"/>
    </row>
    <row r="55" spans="1:7" ht="27" x14ac:dyDescent="0.2">
      <c r="A55" s="12" t="s">
        <v>12</v>
      </c>
      <c r="B55" s="8" t="s">
        <v>445</v>
      </c>
      <c r="C55" s="13"/>
      <c r="D55" s="10"/>
      <c r="E55" s="13"/>
      <c r="F55" s="10"/>
      <c r="G55" s="11"/>
    </row>
    <row r="56" spans="1:7" ht="40.5" x14ac:dyDescent="0.2">
      <c r="A56" s="12" t="s">
        <v>446</v>
      </c>
      <c r="B56" s="8" t="s">
        <v>447</v>
      </c>
      <c r="C56" s="13"/>
      <c r="D56" s="10"/>
      <c r="E56" s="13"/>
      <c r="F56" s="10"/>
      <c r="G56" s="11"/>
    </row>
    <row r="57" spans="1:7" ht="40.5" x14ac:dyDescent="0.2">
      <c r="A57" s="12" t="s">
        <v>5</v>
      </c>
      <c r="B57" s="8" t="s">
        <v>448</v>
      </c>
      <c r="C57" s="13"/>
      <c r="D57" s="10"/>
      <c r="E57" s="13"/>
      <c r="F57" s="10"/>
      <c r="G57" s="11"/>
    </row>
    <row r="58" spans="1:7" ht="40.5" x14ac:dyDescent="0.2">
      <c r="A58" s="12" t="s">
        <v>449</v>
      </c>
      <c r="B58" s="8" t="s">
        <v>450</v>
      </c>
      <c r="C58" s="13"/>
      <c r="D58" s="10"/>
      <c r="E58" s="13"/>
      <c r="F58" s="10"/>
      <c r="G58" s="11"/>
    </row>
    <row r="59" spans="1:7" ht="40.5" x14ac:dyDescent="0.2">
      <c r="A59" s="12" t="s">
        <v>451</v>
      </c>
      <c r="B59" s="8" t="s">
        <v>452</v>
      </c>
      <c r="C59" s="13"/>
      <c r="D59" s="10"/>
      <c r="E59" s="13"/>
      <c r="F59" s="10"/>
      <c r="G59" s="11"/>
    </row>
    <row r="60" spans="1:7" ht="54" x14ac:dyDescent="0.2">
      <c r="A60" s="12" t="s">
        <v>453</v>
      </c>
      <c r="B60" s="8" t="s">
        <v>454</v>
      </c>
      <c r="C60" s="13"/>
      <c r="D60" s="10"/>
      <c r="E60" s="13"/>
      <c r="F60" s="10"/>
      <c r="G60" s="11"/>
    </row>
    <row r="61" spans="1:7" ht="54" x14ac:dyDescent="0.2">
      <c r="A61" s="12" t="s">
        <v>455</v>
      </c>
      <c r="B61" s="8" t="s">
        <v>456</v>
      </c>
      <c r="C61" s="13"/>
      <c r="D61" s="10"/>
      <c r="E61" s="13"/>
      <c r="F61" s="10"/>
      <c r="G61" s="11"/>
    </row>
    <row r="62" spans="1:7" ht="27" x14ac:dyDescent="0.2">
      <c r="A62" s="12" t="s">
        <v>457</v>
      </c>
      <c r="B62" s="8" t="s">
        <v>458</v>
      </c>
      <c r="C62" s="13"/>
      <c r="D62" s="10"/>
      <c r="E62" s="13"/>
      <c r="F62" s="10"/>
      <c r="G62" s="11"/>
    </row>
    <row r="63" spans="1:7" ht="27" x14ac:dyDescent="0.2">
      <c r="A63" s="12" t="s">
        <v>459</v>
      </c>
      <c r="B63" s="8" t="s">
        <v>460</v>
      </c>
      <c r="C63" s="13"/>
      <c r="D63" s="10"/>
      <c r="E63" s="13"/>
      <c r="F63" s="10"/>
      <c r="G63" s="11"/>
    </row>
    <row r="64" spans="1:7" ht="40.5" x14ac:dyDescent="0.2">
      <c r="A64" s="12" t="s">
        <v>461</v>
      </c>
      <c r="B64" s="8" t="s">
        <v>462</v>
      </c>
      <c r="C64" s="13"/>
      <c r="D64" s="10"/>
      <c r="E64" s="13"/>
      <c r="F64" s="10"/>
      <c r="G64" s="11"/>
    </row>
    <row r="65" spans="1:7" ht="40.5" x14ac:dyDescent="0.2">
      <c r="A65" s="12" t="s">
        <v>463</v>
      </c>
      <c r="B65" s="8" t="s">
        <v>464</v>
      </c>
      <c r="C65" s="13"/>
      <c r="D65" s="10"/>
      <c r="E65" s="13"/>
      <c r="F65" s="10"/>
      <c r="G65" s="11"/>
    </row>
    <row r="66" spans="1:7" ht="27" x14ac:dyDescent="0.2">
      <c r="A66" s="12" t="s">
        <v>465</v>
      </c>
      <c r="B66" s="8" t="s">
        <v>466</v>
      </c>
      <c r="C66" s="13"/>
      <c r="D66" s="10"/>
      <c r="E66" s="13"/>
      <c r="F66" s="10"/>
      <c r="G66" s="11"/>
    </row>
    <row r="67" spans="1:7" ht="27" x14ac:dyDescent="0.2">
      <c r="A67" s="12" t="s">
        <v>467</v>
      </c>
      <c r="B67" s="8" t="s">
        <v>468</v>
      </c>
      <c r="C67" s="13"/>
      <c r="D67" s="10"/>
      <c r="E67" s="13"/>
      <c r="F67" s="10"/>
      <c r="G67" s="11"/>
    </row>
    <row r="68" spans="1:7" ht="40.5" x14ac:dyDescent="0.2">
      <c r="A68" s="12" t="s">
        <v>469</v>
      </c>
      <c r="B68" s="8" t="s">
        <v>470</v>
      </c>
      <c r="C68" s="13"/>
      <c r="D68" s="10"/>
      <c r="E68" s="13"/>
      <c r="F68" s="10"/>
      <c r="G68" s="11"/>
    </row>
    <row r="69" spans="1:7" ht="27" x14ac:dyDescent="0.2">
      <c r="A69" s="12" t="s">
        <v>471</v>
      </c>
      <c r="B69" s="8" t="s">
        <v>472</v>
      </c>
      <c r="C69" s="13"/>
      <c r="D69" s="10"/>
      <c r="E69" s="13"/>
      <c r="F69" s="10"/>
      <c r="G69" s="11"/>
    </row>
    <row r="70" spans="1:7" ht="27" x14ac:dyDescent="0.2">
      <c r="A70" s="12" t="s">
        <v>473</v>
      </c>
      <c r="B70" s="8" t="s">
        <v>474</v>
      </c>
      <c r="C70" s="13"/>
      <c r="D70" s="10"/>
      <c r="E70" s="13"/>
      <c r="F70" s="10"/>
      <c r="G70" s="11"/>
    </row>
    <row r="71" spans="1:7" ht="40.5" x14ac:dyDescent="0.2">
      <c r="A71" s="12" t="s">
        <v>475</v>
      </c>
      <c r="B71" s="8" t="s">
        <v>476</v>
      </c>
      <c r="C71" s="13"/>
      <c r="D71" s="10"/>
      <c r="E71" s="13"/>
      <c r="F71" s="10"/>
      <c r="G71" s="11"/>
    </row>
    <row r="72" spans="1:7" ht="54" x14ac:dyDescent="0.2">
      <c r="A72" s="12" t="s">
        <v>477</v>
      </c>
      <c r="B72" s="8" t="s">
        <v>478</v>
      </c>
      <c r="C72" s="13"/>
      <c r="D72" s="10"/>
      <c r="E72" s="13"/>
      <c r="F72" s="10"/>
      <c r="G72" s="11"/>
    </row>
    <row r="73" spans="1:7" x14ac:dyDescent="0.2">
      <c r="A73" s="12" t="s">
        <v>479</v>
      </c>
      <c r="B73" s="8" t="s">
        <v>480</v>
      </c>
      <c r="C73" s="13"/>
      <c r="D73" s="10"/>
      <c r="E73" s="13"/>
      <c r="F73" s="10"/>
      <c r="G73" s="11"/>
    </row>
    <row r="74" spans="1:7" ht="27" x14ac:dyDescent="0.2">
      <c r="A74" s="12" t="s">
        <v>481</v>
      </c>
      <c r="B74" s="8" t="s">
        <v>482</v>
      </c>
      <c r="C74" s="13"/>
      <c r="D74" s="10"/>
      <c r="E74" s="13"/>
      <c r="F74" s="10"/>
      <c r="G74" s="11"/>
    </row>
    <row r="75" spans="1:7" ht="27" x14ac:dyDescent="0.2">
      <c r="A75" s="12" t="s">
        <v>483</v>
      </c>
      <c r="B75" s="8" t="s">
        <v>484</v>
      </c>
      <c r="C75" s="13"/>
      <c r="D75" s="10"/>
      <c r="E75" s="13"/>
      <c r="F75" s="10"/>
      <c r="G75" s="11"/>
    </row>
    <row r="76" spans="1:7" ht="40.5" x14ac:dyDescent="0.2">
      <c r="A76" s="12" t="s">
        <v>485</v>
      </c>
      <c r="B76" s="8" t="s">
        <v>486</v>
      </c>
      <c r="C76" s="13"/>
      <c r="D76" s="10"/>
      <c r="E76" s="13"/>
      <c r="F76" s="10"/>
      <c r="G76" s="11"/>
    </row>
    <row r="77" spans="1:7" ht="54" x14ac:dyDescent="0.2">
      <c r="A77" s="12" t="s">
        <v>487</v>
      </c>
      <c r="B77" s="8" t="s">
        <v>488</v>
      </c>
      <c r="C77" s="13"/>
      <c r="D77" s="10"/>
      <c r="E77" s="13"/>
      <c r="F77" s="10"/>
      <c r="G77" s="11"/>
    </row>
    <row r="78" spans="1:7" ht="40.5" x14ac:dyDescent="0.2">
      <c r="A78" s="12" t="s">
        <v>489</v>
      </c>
      <c r="B78" s="8" t="s">
        <v>490</v>
      </c>
      <c r="C78" s="13"/>
      <c r="D78" s="10"/>
      <c r="E78" s="13"/>
      <c r="F78" s="10"/>
      <c r="G78" s="11"/>
    </row>
    <row r="79" spans="1:7" ht="40.5" x14ac:dyDescent="0.2">
      <c r="A79" s="12" t="s">
        <v>491</v>
      </c>
      <c r="B79" s="8" t="s">
        <v>492</v>
      </c>
      <c r="C79" s="13"/>
      <c r="D79" s="10"/>
      <c r="E79" s="13"/>
      <c r="F79" s="10"/>
      <c r="G79" s="11"/>
    </row>
    <row r="80" spans="1:7" ht="40.5" x14ac:dyDescent="0.2">
      <c r="A80" s="12" t="s">
        <v>493</v>
      </c>
      <c r="B80" s="8" t="s">
        <v>494</v>
      </c>
      <c r="C80" s="13"/>
      <c r="D80" s="10"/>
      <c r="E80" s="13"/>
      <c r="F80" s="10"/>
      <c r="G80" s="11"/>
    </row>
    <row r="81" spans="1:5" x14ac:dyDescent="0.2">
      <c r="A81" s="4"/>
      <c r="C81" s="4"/>
      <c r="E81" s="4"/>
    </row>
    <row r="82" spans="1:5" x14ac:dyDescent="0.2">
      <c r="A82" s="2" t="s">
        <v>495</v>
      </c>
    </row>
    <row r="83" spans="1:5" x14ac:dyDescent="0.2">
      <c r="A83" s="14" t="s">
        <v>496</v>
      </c>
      <c r="B83" s="3" t="s">
        <v>497</v>
      </c>
    </row>
    <row r="84" spans="1:5" x14ac:dyDescent="0.2">
      <c r="A84" s="14" t="s">
        <v>1</v>
      </c>
      <c r="B84" s="3" t="s">
        <v>498</v>
      </c>
    </row>
    <row r="86" spans="1:5" x14ac:dyDescent="0.2">
      <c r="A86" s="2" t="s">
        <v>499</v>
      </c>
    </row>
    <row r="87" spans="1:5" x14ac:dyDescent="0.2">
      <c r="A87" s="4">
        <v>0</v>
      </c>
      <c r="B87" s="3" t="s">
        <v>500</v>
      </c>
    </row>
    <row r="88" spans="1:5" x14ac:dyDescent="0.2">
      <c r="A88" s="4">
        <v>1</v>
      </c>
      <c r="B88" s="3" t="s">
        <v>501</v>
      </c>
    </row>
    <row r="89" spans="1:5" x14ac:dyDescent="0.2">
      <c r="A89" s="4">
        <v>2</v>
      </c>
      <c r="B89" s="3" t="s">
        <v>502</v>
      </c>
    </row>
    <row r="90" spans="1:5" x14ac:dyDescent="0.2">
      <c r="A90" s="4">
        <v>3</v>
      </c>
      <c r="B90" s="3" t="s">
        <v>503</v>
      </c>
    </row>
    <row r="91" spans="1:5" x14ac:dyDescent="0.2">
      <c r="A91" s="4">
        <v>4</v>
      </c>
      <c r="B91" s="3" t="s">
        <v>504</v>
      </c>
    </row>
    <row r="92" spans="1:5" x14ac:dyDescent="0.2">
      <c r="A92" s="4">
        <v>5</v>
      </c>
      <c r="B92" s="3" t="s">
        <v>505</v>
      </c>
    </row>
    <row r="93" spans="1:5" x14ac:dyDescent="0.2">
      <c r="A93" s="4">
        <v>6</v>
      </c>
      <c r="B93" s="3" t="s">
        <v>506</v>
      </c>
    </row>
    <row r="94" spans="1:5" x14ac:dyDescent="0.2">
      <c r="A94" s="4">
        <v>7</v>
      </c>
      <c r="B94" s="3" t="s">
        <v>507</v>
      </c>
    </row>
    <row r="95" spans="1:5" x14ac:dyDescent="0.2">
      <c r="A95" s="4">
        <v>9</v>
      </c>
      <c r="B95" s="3" t="s">
        <v>508</v>
      </c>
    </row>
    <row r="96" spans="1:5" ht="14.25" x14ac:dyDescent="0.2">
      <c r="A96" s="4" t="s">
        <v>509</v>
      </c>
      <c r="B96" s="15" t="s">
        <v>510</v>
      </c>
    </row>
    <row r="97" spans="1:2" ht="14.25" x14ac:dyDescent="0.2">
      <c r="A97" s="4" t="s">
        <v>511</v>
      </c>
      <c r="B97" s="15" t="s">
        <v>512</v>
      </c>
    </row>
    <row r="98" spans="1:2" ht="14.25" x14ac:dyDescent="0.2">
      <c r="A98" s="4" t="s">
        <v>6</v>
      </c>
      <c r="B98" s="15" t="s">
        <v>513</v>
      </c>
    </row>
    <row r="99" spans="1:2" ht="14.25" x14ac:dyDescent="0.2">
      <c r="A99" s="4" t="s">
        <v>2</v>
      </c>
      <c r="B99" s="15" t="s">
        <v>514</v>
      </c>
    </row>
    <row r="101" spans="1:2" x14ac:dyDescent="0.2">
      <c r="A101" s="2" t="s">
        <v>515</v>
      </c>
    </row>
    <row r="102" spans="1:2" x14ac:dyDescent="0.2">
      <c r="A102" s="4">
        <v>0</v>
      </c>
      <c r="B102" s="3" t="s">
        <v>516</v>
      </c>
    </row>
    <row r="103" spans="1:2" x14ac:dyDescent="0.2">
      <c r="A103" s="4">
        <v>1</v>
      </c>
      <c r="B103" s="3" t="s">
        <v>517</v>
      </c>
    </row>
    <row r="104" spans="1:2" x14ac:dyDescent="0.2">
      <c r="A104" s="4">
        <v>2</v>
      </c>
      <c r="B104" s="3" t="s">
        <v>518</v>
      </c>
    </row>
    <row r="105" spans="1:2" x14ac:dyDescent="0.2">
      <c r="A105" s="4">
        <v>3</v>
      </c>
      <c r="B105" s="3" t="s">
        <v>519</v>
      </c>
    </row>
    <row r="106" spans="1:2" x14ac:dyDescent="0.2">
      <c r="A106" s="4">
        <v>4</v>
      </c>
      <c r="B106" s="3" t="s">
        <v>520</v>
      </c>
    </row>
    <row r="107" spans="1:2" x14ac:dyDescent="0.2">
      <c r="A107" s="4">
        <v>5</v>
      </c>
      <c r="B107" s="3" t="s">
        <v>521</v>
      </c>
    </row>
    <row r="108" spans="1:2" x14ac:dyDescent="0.2">
      <c r="A108" s="4">
        <v>6</v>
      </c>
      <c r="B108" s="3" t="s">
        <v>522</v>
      </c>
    </row>
    <row r="110" spans="1:2" x14ac:dyDescent="0.2">
      <c r="A110" s="2" t="s">
        <v>523</v>
      </c>
    </row>
    <row r="111" spans="1:2" x14ac:dyDescent="0.2">
      <c r="A111" s="14" t="s">
        <v>524</v>
      </c>
      <c r="B111" s="3" t="s">
        <v>8</v>
      </c>
    </row>
    <row r="112" spans="1:2" x14ac:dyDescent="0.2">
      <c r="A112" s="14" t="s">
        <v>17</v>
      </c>
      <c r="B112" s="3" t="s">
        <v>32</v>
      </c>
    </row>
    <row r="114" spans="1:2" x14ac:dyDescent="0.2">
      <c r="A114" s="2" t="s">
        <v>525</v>
      </c>
    </row>
    <row r="115" spans="1:2" x14ac:dyDescent="0.2">
      <c r="A115" s="4">
        <v>1</v>
      </c>
      <c r="B115" s="3" t="s">
        <v>526</v>
      </c>
    </row>
    <row r="116" spans="1:2" x14ac:dyDescent="0.2">
      <c r="A116" s="4">
        <v>2</v>
      </c>
      <c r="B116" s="3" t="s">
        <v>527</v>
      </c>
    </row>
    <row r="117" spans="1:2" x14ac:dyDescent="0.2">
      <c r="A117" s="4">
        <v>3</v>
      </c>
      <c r="B117" s="3" t="s">
        <v>528</v>
      </c>
    </row>
    <row r="118" spans="1:2" x14ac:dyDescent="0.2">
      <c r="A118" s="4">
        <v>4</v>
      </c>
      <c r="B118" s="3" t="s">
        <v>529</v>
      </c>
    </row>
    <row r="119" spans="1:2" x14ac:dyDescent="0.2">
      <c r="A119" s="4">
        <v>5</v>
      </c>
      <c r="B119" s="3" t="s">
        <v>530</v>
      </c>
    </row>
    <row r="121" spans="1:2" x14ac:dyDescent="0.2">
      <c r="A121" s="2" t="s">
        <v>297</v>
      </c>
    </row>
    <row r="122" spans="1:2" x14ac:dyDescent="0.2">
      <c r="A122" s="4">
        <v>1</v>
      </c>
      <c r="B122" s="3" t="s">
        <v>531</v>
      </c>
    </row>
    <row r="123" spans="1:2" x14ac:dyDescent="0.2">
      <c r="A123" s="4">
        <v>2</v>
      </c>
      <c r="B123" s="3" t="s">
        <v>532</v>
      </c>
    </row>
    <row r="124" spans="1:2" x14ac:dyDescent="0.2">
      <c r="A124" s="4">
        <v>3</v>
      </c>
      <c r="B124" s="3" t="s">
        <v>533</v>
      </c>
    </row>
    <row r="125" spans="1:2" x14ac:dyDescent="0.2">
      <c r="A125" s="4">
        <v>4</v>
      </c>
      <c r="B125" s="3" t="s">
        <v>534</v>
      </c>
    </row>
    <row r="126" spans="1:2" x14ac:dyDescent="0.2">
      <c r="A126" s="4">
        <v>5</v>
      </c>
      <c r="B126" s="3" t="s">
        <v>535</v>
      </c>
    </row>
    <row r="127" spans="1:2" x14ac:dyDescent="0.2">
      <c r="A127" s="4">
        <v>6</v>
      </c>
      <c r="B127" s="3" t="s">
        <v>536</v>
      </c>
    </row>
    <row r="128" spans="1:2" x14ac:dyDescent="0.2">
      <c r="A128" s="4">
        <v>7</v>
      </c>
      <c r="B128" s="3" t="s">
        <v>537</v>
      </c>
    </row>
    <row r="129" spans="1:2" x14ac:dyDescent="0.2">
      <c r="A129" s="4">
        <v>9</v>
      </c>
      <c r="B129" s="3" t="s">
        <v>538</v>
      </c>
    </row>
    <row r="130" spans="1:2" x14ac:dyDescent="0.2">
      <c r="A130" s="4">
        <v>10</v>
      </c>
      <c r="B130" s="3" t="s">
        <v>539</v>
      </c>
    </row>
    <row r="131" spans="1:2" x14ac:dyDescent="0.2">
      <c r="A131" s="4">
        <v>11</v>
      </c>
      <c r="B131" s="3" t="s">
        <v>540</v>
      </c>
    </row>
    <row r="132" spans="1:2" x14ac:dyDescent="0.2">
      <c r="A132" s="4">
        <v>12</v>
      </c>
      <c r="B132" s="3" t="s">
        <v>541</v>
      </c>
    </row>
    <row r="133" spans="1:2" x14ac:dyDescent="0.2">
      <c r="A133" s="4">
        <v>13</v>
      </c>
      <c r="B133" s="3" t="s">
        <v>542</v>
      </c>
    </row>
    <row r="135" spans="1:2" x14ac:dyDescent="0.2">
      <c r="A135" s="2" t="s">
        <v>543</v>
      </c>
    </row>
    <row r="136" spans="1:2" x14ac:dyDescent="0.2">
      <c r="A136" s="4">
        <v>1</v>
      </c>
      <c r="B136" s="3" t="s">
        <v>544</v>
      </c>
    </row>
    <row r="137" spans="1:2" x14ac:dyDescent="0.2">
      <c r="A137" s="4">
        <v>2</v>
      </c>
      <c r="B137" s="3" t="s">
        <v>545</v>
      </c>
    </row>
    <row r="138" spans="1:2" x14ac:dyDescent="0.2">
      <c r="A138" s="4">
        <v>4</v>
      </c>
      <c r="B138" s="3" t="s">
        <v>546</v>
      </c>
    </row>
    <row r="139" spans="1:2" x14ac:dyDescent="0.2">
      <c r="A139" s="4">
        <v>6</v>
      </c>
      <c r="B139" s="3" t="s">
        <v>547</v>
      </c>
    </row>
    <row r="140" spans="1:2" x14ac:dyDescent="0.2">
      <c r="A140" s="4">
        <v>8</v>
      </c>
      <c r="B140" s="3" t="s">
        <v>548</v>
      </c>
    </row>
    <row r="141" spans="1:2" x14ac:dyDescent="0.2">
      <c r="A141" s="4">
        <v>9</v>
      </c>
      <c r="B141" s="3" t="s">
        <v>549</v>
      </c>
    </row>
    <row r="143" spans="1:2" x14ac:dyDescent="0.2">
      <c r="A143" s="2" t="s">
        <v>550</v>
      </c>
    </row>
    <row r="144" spans="1:2" x14ac:dyDescent="0.2">
      <c r="A144" s="4">
        <v>0</v>
      </c>
      <c r="B144" s="3" t="s">
        <v>551</v>
      </c>
    </row>
    <row r="145" spans="1:2" x14ac:dyDescent="0.2">
      <c r="A145" s="4">
        <v>1</v>
      </c>
      <c r="B145" s="3" t="s">
        <v>552</v>
      </c>
    </row>
    <row r="146" spans="1:2" x14ac:dyDescent="0.2">
      <c r="A146" s="4">
        <v>2</v>
      </c>
      <c r="B146" s="3" t="s">
        <v>553</v>
      </c>
    </row>
    <row r="147" spans="1:2" x14ac:dyDescent="0.2">
      <c r="A147" s="4">
        <v>3</v>
      </c>
      <c r="B147" s="3" t="s">
        <v>554</v>
      </c>
    </row>
    <row r="148" spans="1:2" x14ac:dyDescent="0.2">
      <c r="A148" s="4">
        <v>4</v>
      </c>
      <c r="B148" s="3" t="s">
        <v>555</v>
      </c>
    </row>
    <row r="149" spans="1:2" x14ac:dyDescent="0.2">
      <c r="A149" s="4">
        <v>5</v>
      </c>
      <c r="B149" s="3" t="s">
        <v>556</v>
      </c>
    </row>
    <row r="151" spans="1:2" x14ac:dyDescent="0.2">
      <c r="A151" s="2" t="s">
        <v>557</v>
      </c>
    </row>
    <row r="152" spans="1:2" x14ac:dyDescent="0.2">
      <c r="A152" s="4">
        <v>0</v>
      </c>
      <c r="B152" s="3" t="s">
        <v>558</v>
      </c>
    </row>
    <row r="153" spans="1:2" x14ac:dyDescent="0.2">
      <c r="A153" s="4">
        <v>1</v>
      </c>
      <c r="B153" s="3" t="s">
        <v>559</v>
      </c>
    </row>
    <row r="155" spans="1:2" x14ac:dyDescent="0.2">
      <c r="A155" s="2" t="s">
        <v>149</v>
      </c>
    </row>
    <row r="156" spans="1:2" x14ac:dyDescent="0.2">
      <c r="A156" s="14" t="s">
        <v>560</v>
      </c>
      <c r="B156" s="3" t="s">
        <v>561</v>
      </c>
    </row>
    <row r="157" spans="1:2" x14ac:dyDescent="0.2">
      <c r="A157" s="14" t="s">
        <v>562</v>
      </c>
      <c r="B157" s="3" t="s">
        <v>563</v>
      </c>
    </row>
    <row r="158" spans="1:2" x14ac:dyDescent="0.2">
      <c r="A158" s="14" t="s">
        <v>564</v>
      </c>
      <c r="B158" s="3" t="s">
        <v>565</v>
      </c>
    </row>
    <row r="159" spans="1:2" x14ac:dyDescent="0.2">
      <c r="A159" s="14" t="s">
        <v>566</v>
      </c>
      <c r="B159" s="3" t="s">
        <v>567</v>
      </c>
    </row>
    <row r="160" spans="1:2" x14ac:dyDescent="0.2">
      <c r="A160" s="14" t="s">
        <v>568</v>
      </c>
      <c r="B160" s="3" t="s">
        <v>569</v>
      </c>
    </row>
    <row r="161" spans="1:2" x14ac:dyDescent="0.2">
      <c r="A161" s="14" t="s">
        <v>570</v>
      </c>
      <c r="B161" s="3" t="s">
        <v>571</v>
      </c>
    </row>
    <row r="162" spans="1:2" x14ac:dyDescent="0.2">
      <c r="A162" s="14" t="s">
        <v>572</v>
      </c>
      <c r="B162" s="3" t="s">
        <v>573</v>
      </c>
    </row>
    <row r="163" spans="1:2" x14ac:dyDescent="0.2">
      <c r="A163" s="14" t="s">
        <v>574</v>
      </c>
      <c r="B163" s="3" t="s">
        <v>575</v>
      </c>
    </row>
    <row r="164" spans="1:2" x14ac:dyDescent="0.2">
      <c r="A164" s="14" t="s">
        <v>576</v>
      </c>
      <c r="B164" s="3" t="s">
        <v>577</v>
      </c>
    </row>
    <row r="165" spans="1:2" x14ac:dyDescent="0.2">
      <c r="A165" s="14" t="s">
        <v>578</v>
      </c>
      <c r="B165" s="3" t="s">
        <v>579</v>
      </c>
    </row>
    <row r="166" spans="1:2" x14ac:dyDescent="0.2">
      <c r="A166" s="14" t="s">
        <v>580</v>
      </c>
      <c r="B166" s="3" t="s">
        <v>581</v>
      </c>
    </row>
    <row r="167" spans="1:2" x14ac:dyDescent="0.2">
      <c r="A167" s="14" t="s">
        <v>582</v>
      </c>
      <c r="B167" s="3" t="s">
        <v>583</v>
      </c>
    </row>
    <row r="168" spans="1:2" x14ac:dyDescent="0.2">
      <c r="A168" s="14" t="s">
        <v>584</v>
      </c>
      <c r="B168" s="3" t="s">
        <v>585</v>
      </c>
    </row>
    <row r="169" spans="1:2" x14ac:dyDescent="0.2">
      <c r="A169" s="14" t="s">
        <v>586</v>
      </c>
      <c r="B169" s="3" t="s">
        <v>587</v>
      </c>
    </row>
    <row r="170" spans="1:2" x14ac:dyDescent="0.2">
      <c r="A170" s="14" t="s">
        <v>588</v>
      </c>
      <c r="B170" s="3" t="s">
        <v>589</v>
      </c>
    </row>
    <row r="171" spans="1:2" x14ac:dyDescent="0.2">
      <c r="A171" s="14" t="s">
        <v>590</v>
      </c>
      <c r="B171" s="3" t="s">
        <v>591</v>
      </c>
    </row>
    <row r="172" spans="1:2" x14ac:dyDescent="0.2">
      <c r="A172" s="14" t="s">
        <v>592</v>
      </c>
      <c r="B172" s="3" t="s">
        <v>593</v>
      </c>
    </row>
    <row r="173" spans="1:2" x14ac:dyDescent="0.2">
      <c r="A173" s="14" t="s">
        <v>594</v>
      </c>
      <c r="B173" s="3" t="s">
        <v>595</v>
      </c>
    </row>
    <row r="174" spans="1:2" x14ac:dyDescent="0.2">
      <c r="A174" s="14" t="s">
        <v>596</v>
      </c>
      <c r="B174" s="3" t="s">
        <v>597</v>
      </c>
    </row>
    <row r="175" spans="1:2" x14ac:dyDescent="0.2">
      <c r="A175" s="14" t="s">
        <v>598</v>
      </c>
      <c r="B175" s="3" t="s">
        <v>599</v>
      </c>
    </row>
    <row r="176" spans="1:2" x14ac:dyDescent="0.2">
      <c r="A176" s="14" t="s">
        <v>600</v>
      </c>
      <c r="B176" s="3" t="s">
        <v>601</v>
      </c>
    </row>
    <row r="177" spans="1:2" x14ac:dyDescent="0.2">
      <c r="A177" s="14" t="s">
        <v>602</v>
      </c>
      <c r="B177" s="3" t="s">
        <v>603</v>
      </c>
    </row>
    <row r="178" spans="1:2" x14ac:dyDescent="0.2">
      <c r="A178" s="14" t="s">
        <v>604</v>
      </c>
      <c r="B178" s="3" t="s">
        <v>605</v>
      </c>
    </row>
    <row r="179" spans="1:2" x14ac:dyDescent="0.2">
      <c r="A179" s="14" t="s">
        <v>606</v>
      </c>
      <c r="B179" s="3" t="s">
        <v>607</v>
      </c>
    </row>
    <row r="180" spans="1:2" x14ac:dyDescent="0.2">
      <c r="A180" s="14" t="s">
        <v>608</v>
      </c>
      <c r="B180" s="3" t="s">
        <v>609</v>
      </c>
    </row>
    <row r="181" spans="1:2" x14ac:dyDescent="0.2">
      <c r="A181" s="14" t="s">
        <v>610</v>
      </c>
      <c r="B181" s="3" t="s">
        <v>611</v>
      </c>
    </row>
    <row r="182" spans="1:2" x14ac:dyDescent="0.2">
      <c r="A182" s="14" t="s">
        <v>612</v>
      </c>
      <c r="B182" s="3" t="s">
        <v>613</v>
      </c>
    </row>
    <row r="184" spans="1:2" x14ac:dyDescent="0.2">
      <c r="A184" s="2" t="s">
        <v>614</v>
      </c>
    </row>
    <row r="185" spans="1:2" x14ac:dyDescent="0.2">
      <c r="A185" s="16" t="s">
        <v>420</v>
      </c>
      <c r="B185" s="3" t="s">
        <v>615</v>
      </c>
    </row>
    <row r="186" spans="1:2" x14ac:dyDescent="0.2">
      <c r="A186" s="16" t="s">
        <v>422</v>
      </c>
      <c r="B186" s="3" t="s">
        <v>616</v>
      </c>
    </row>
    <row r="187" spans="1:2" x14ac:dyDescent="0.2">
      <c r="A187" s="16" t="s">
        <v>424</v>
      </c>
      <c r="B187" s="3" t="s">
        <v>617</v>
      </c>
    </row>
    <row r="188" spans="1:2" x14ac:dyDescent="0.2">
      <c r="A188" s="16" t="s">
        <v>426</v>
      </c>
      <c r="B188" s="3" t="s">
        <v>618</v>
      </c>
    </row>
    <row r="189" spans="1:2" x14ac:dyDescent="0.2">
      <c r="A189" s="16" t="s">
        <v>428</v>
      </c>
      <c r="B189" s="3" t="s">
        <v>619</v>
      </c>
    </row>
    <row r="190" spans="1:2" x14ac:dyDescent="0.2">
      <c r="A190" s="16" t="s">
        <v>430</v>
      </c>
      <c r="B190" s="3" t="s">
        <v>620</v>
      </c>
    </row>
    <row r="191" spans="1:2" x14ac:dyDescent="0.2">
      <c r="A191" s="16" t="s">
        <v>432</v>
      </c>
      <c r="B191" s="3" t="s">
        <v>621</v>
      </c>
    </row>
    <row r="192" spans="1:2" x14ac:dyDescent="0.2">
      <c r="A192" s="16" t="s">
        <v>434</v>
      </c>
      <c r="B192" s="3" t="s">
        <v>622</v>
      </c>
    </row>
    <row r="193" spans="1:2" x14ac:dyDescent="0.2">
      <c r="A193" s="16">
        <v>90</v>
      </c>
      <c r="B193" s="3" t="s">
        <v>623</v>
      </c>
    </row>
    <row r="194" spans="1:2" ht="14.25" x14ac:dyDescent="0.2">
      <c r="A194" s="16">
        <v>97</v>
      </c>
      <c r="B194" s="15" t="s">
        <v>624</v>
      </c>
    </row>
    <row r="195" spans="1:2" x14ac:dyDescent="0.2">
      <c r="A195" s="16">
        <v>98</v>
      </c>
      <c r="B195" s="3" t="s">
        <v>625</v>
      </c>
    </row>
    <row r="196" spans="1:2" x14ac:dyDescent="0.2">
      <c r="A196" s="16">
        <v>99</v>
      </c>
      <c r="B196" s="3" t="s">
        <v>626</v>
      </c>
    </row>
    <row r="198" spans="1:2" x14ac:dyDescent="0.2">
      <c r="A198" s="2" t="s">
        <v>627</v>
      </c>
    </row>
    <row r="199" spans="1:2" x14ac:dyDescent="0.2">
      <c r="A199" s="14">
        <v>10</v>
      </c>
      <c r="B199" s="3" t="s">
        <v>628</v>
      </c>
    </row>
    <row r="200" spans="1:2" x14ac:dyDescent="0.2">
      <c r="A200" s="14">
        <v>20</v>
      </c>
      <c r="B200" s="3" t="s">
        <v>629</v>
      </c>
    </row>
    <row r="201" spans="1:2" x14ac:dyDescent="0.2">
      <c r="A201" s="14">
        <v>21</v>
      </c>
      <c r="B201" s="3" t="s">
        <v>630</v>
      </c>
    </row>
    <row r="202" spans="1:2" x14ac:dyDescent="0.2">
      <c r="A202" s="14">
        <v>22</v>
      </c>
      <c r="B202" s="3" t="s">
        <v>631</v>
      </c>
    </row>
    <row r="203" spans="1:2" x14ac:dyDescent="0.2">
      <c r="A203" s="14">
        <v>23</v>
      </c>
      <c r="B203" s="3" t="s">
        <v>632</v>
      </c>
    </row>
    <row r="204" spans="1:2" x14ac:dyDescent="0.2">
      <c r="A204" s="14">
        <v>24</v>
      </c>
      <c r="B204" s="3" t="s">
        <v>633</v>
      </c>
    </row>
    <row r="205" spans="1:2" x14ac:dyDescent="0.2">
      <c r="A205" s="14">
        <v>25</v>
      </c>
      <c r="B205" s="3" t="s">
        <v>634</v>
      </c>
    </row>
    <row r="206" spans="1:2" x14ac:dyDescent="0.2">
      <c r="A206" s="14">
        <v>26</v>
      </c>
      <c r="B206" s="3" t="s">
        <v>635</v>
      </c>
    </row>
    <row r="207" spans="1:2" x14ac:dyDescent="0.2">
      <c r="A207" s="14">
        <v>27</v>
      </c>
      <c r="B207" s="3" t="s">
        <v>636</v>
      </c>
    </row>
    <row r="208" spans="1:2" x14ac:dyDescent="0.2">
      <c r="A208" s="14">
        <v>28</v>
      </c>
      <c r="B208" s="3" t="s">
        <v>637</v>
      </c>
    </row>
    <row r="209" spans="1:2" x14ac:dyDescent="0.2">
      <c r="A209" s="14">
        <v>29</v>
      </c>
      <c r="B209" s="3" t="s">
        <v>638</v>
      </c>
    </row>
    <row r="210" spans="1:2" x14ac:dyDescent="0.2">
      <c r="A210" s="14">
        <v>30</v>
      </c>
      <c r="B210" s="3" t="s">
        <v>639</v>
      </c>
    </row>
    <row r="211" spans="1:2" x14ac:dyDescent="0.2">
      <c r="A211" s="14">
        <v>31</v>
      </c>
      <c r="B211" s="3" t="s">
        <v>640</v>
      </c>
    </row>
    <row r="212" spans="1:2" x14ac:dyDescent="0.2">
      <c r="A212" s="14">
        <v>32</v>
      </c>
      <c r="B212" s="3" t="s">
        <v>641</v>
      </c>
    </row>
    <row r="213" spans="1:2" x14ac:dyDescent="0.2">
      <c r="A213" s="14">
        <v>34</v>
      </c>
      <c r="B213" s="3" t="s">
        <v>642</v>
      </c>
    </row>
    <row r="214" spans="1:2" x14ac:dyDescent="0.2">
      <c r="A214" s="14">
        <v>35</v>
      </c>
      <c r="B214" s="3" t="s">
        <v>643</v>
      </c>
    </row>
    <row r="215" spans="1:2" x14ac:dyDescent="0.2">
      <c r="A215" s="14">
        <v>36</v>
      </c>
      <c r="B215" s="3" t="s">
        <v>644</v>
      </c>
    </row>
    <row r="216" spans="1:2" x14ac:dyDescent="0.2">
      <c r="A216" s="14">
        <v>37</v>
      </c>
      <c r="B216" s="3" t="s">
        <v>645</v>
      </c>
    </row>
    <row r="217" spans="1:2" x14ac:dyDescent="0.2">
      <c r="A217" s="14">
        <v>38</v>
      </c>
      <c r="B217" s="3" t="s">
        <v>646</v>
      </c>
    </row>
    <row r="218" spans="1:2" x14ac:dyDescent="0.2">
      <c r="A218" s="14">
        <v>39</v>
      </c>
      <c r="B218" s="3" t="s">
        <v>647</v>
      </c>
    </row>
    <row r="219" spans="1:2" x14ac:dyDescent="0.2">
      <c r="A219" s="14">
        <v>40</v>
      </c>
      <c r="B219" s="3" t="s">
        <v>648</v>
      </c>
    </row>
    <row r="220" spans="1:2" x14ac:dyDescent="0.2">
      <c r="A220" s="14">
        <v>41</v>
      </c>
      <c r="B220" s="3" t="s">
        <v>649</v>
      </c>
    </row>
    <row r="221" spans="1:2" x14ac:dyDescent="0.2">
      <c r="A221" s="14">
        <v>42</v>
      </c>
      <c r="B221" s="3" t="s">
        <v>650</v>
      </c>
    </row>
    <row r="222" spans="1:2" x14ac:dyDescent="0.2">
      <c r="A222" s="14">
        <v>43</v>
      </c>
      <c r="B222" s="3" t="s">
        <v>651</v>
      </c>
    </row>
    <row r="223" spans="1:2" x14ac:dyDescent="0.2">
      <c r="A223" s="14">
        <v>44</v>
      </c>
      <c r="B223" s="3" t="s">
        <v>652</v>
      </c>
    </row>
    <row r="224" spans="1:2" x14ac:dyDescent="0.2">
      <c r="A224" s="14">
        <v>45</v>
      </c>
      <c r="B224" s="3" t="s">
        <v>653</v>
      </c>
    </row>
    <row r="225" spans="1:2" x14ac:dyDescent="0.2">
      <c r="A225" s="14">
        <v>46</v>
      </c>
      <c r="B225" s="3" t="s">
        <v>654</v>
      </c>
    </row>
    <row r="226" spans="1:2" x14ac:dyDescent="0.2">
      <c r="A226" s="14">
        <v>47</v>
      </c>
      <c r="B226" s="3" t="s">
        <v>655</v>
      </c>
    </row>
    <row r="227" spans="1:2" x14ac:dyDescent="0.2">
      <c r="A227" s="14">
        <v>48</v>
      </c>
      <c r="B227" s="3" t="s">
        <v>656</v>
      </c>
    </row>
    <row r="228" spans="1:2" x14ac:dyDescent="0.2">
      <c r="A228" s="14">
        <v>49</v>
      </c>
      <c r="B228" s="3" t="s">
        <v>657</v>
      </c>
    </row>
    <row r="229" spans="1:2" x14ac:dyDescent="0.2">
      <c r="A229" s="14">
        <v>50</v>
      </c>
      <c r="B229" s="3" t="s">
        <v>625</v>
      </c>
    </row>
    <row r="230" spans="1:2" x14ac:dyDescent="0.2">
      <c r="A230" s="14">
        <v>51</v>
      </c>
      <c r="B230" s="3" t="s">
        <v>658</v>
      </c>
    </row>
    <row r="231" spans="1:2" x14ac:dyDescent="0.2">
      <c r="A231" s="14">
        <v>60</v>
      </c>
      <c r="B231" s="3" t="s">
        <v>659</v>
      </c>
    </row>
    <row r="232" spans="1:2" x14ac:dyDescent="0.2">
      <c r="A232" s="14">
        <v>61</v>
      </c>
      <c r="B232" s="3" t="s">
        <v>660</v>
      </c>
    </row>
    <row r="233" spans="1:2" x14ac:dyDescent="0.2">
      <c r="A233" s="14">
        <v>62</v>
      </c>
      <c r="B233" s="3" t="s">
        <v>661</v>
      </c>
    </row>
    <row r="234" spans="1:2" x14ac:dyDescent="0.2">
      <c r="A234" s="14">
        <v>70</v>
      </c>
      <c r="B234" s="3" t="s">
        <v>662</v>
      </c>
    </row>
    <row r="236" spans="1:2" x14ac:dyDescent="0.2">
      <c r="A236" s="2" t="s">
        <v>663</v>
      </c>
    </row>
    <row r="237" spans="1:2" x14ac:dyDescent="0.2">
      <c r="A237" s="4">
        <v>1</v>
      </c>
      <c r="B237" s="3" t="s">
        <v>664</v>
      </c>
    </row>
    <row r="238" spans="1:2" x14ac:dyDescent="0.2">
      <c r="A238" s="4">
        <v>2</v>
      </c>
      <c r="B238" s="3" t="s">
        <v>665</v>
      </c>
    </row>
    <row r="240" spans="1:2" x14ac:dyDescent="0.2">
      <c r="A240" s="2" t="s">
        <v>666</v>
      </c>
    </row>
    <row r="241" spans="1:2" ht="15" x14ac:dyDescent="0.25">
      <c r="A241" s="17" t="s">
        <v>437</v>
      </c>
      <c r="B241" s="3" t="s">
        <v>667</v>
      </c>
    </row>
    <row r="242" spans="1:2" ht="15" x14ac:dyDescent="0.25">
      <c r="A242" s="17" t="s">
        <v>439</v>
      </c>
      <c r="B242" s="3" t="s">
        <v>668</v>
      </c>
    </row>
    <row r="243" spans="1:2" ht="15" x14ac:dyDescent="0.25">
      <c r="A243" s="17" t="s">
        <v>441</v>
      </c>
      <c r="B243" s="3" t="s">
        <v>669</v>
      </c>
    </row>
    <row r="244" spans="1:2" ht="15" x14ac:dyDescent="0.25">
      <c r="A244" s="17" t="s">
        <v>670</v>
      </c>
      <c r="B244" s="3" t="s">
        <v>671</v>
      </c>
    </row>
    <row r="245" spans="1:2" ht="15" x14ac:dyDescent="0.25">
      <c r="A245" s="17" t="s">
        <v>12</v>
      </c>
      <c r="B245" s="3" t="s">
        <v>672</v>
      </c>
    </row>
    <row r="246" spans="1:2" ht="15" x14ac:dyDescent="0.25">
      <c r="A246" s="17" t="s">
        <v>446</v>
      </c>
      <c r="B246" s="3" t="s">
        <v>673</v>
      </c>
    </row>
    <row r="247" spans="1:2" ht="15" x14ac:dyDescent="0.25">
      <c r="A247" s="17" t="s">
        <v>5</v>
      </c>
      <c r="B247" s="3" t="s">
        <v>674</v>
      </c>
    </row>
    <row r="248" spans="1:2" ht="15" x14ac:dyDescent="0.25">
      <c r="A248" s="17" t="s">
        <v>449</v>
      </c>
      <c r="B248" s="3" t="s">
        <v>675</v>
      </c>
    </row>
    <row r="249" spans="1:2" ht="15" x14ac:dyDescent="0.25">
      <c r="A249" s="17" t="s">
        <v>451</v>
      </c>
      <c r="B249" s="3" t="s">
        <v>676</v>
      </c>
    </row>
    <row r="250" spans="1:2" ht="15" x14ac:dyDescent="0.25">
      <c r="A250" s="17" t="s">
        <v>677</v>
      </c>
      <c r="B250" s="3" t="s">
        <v>678</v>
      </c>
    </row>
    <row r="251" spans="1:2" ht="15" x14ac:dyDescent="0.25">
      <c r="A251" s="17" t="s">
        <v>453</v>
      </c>
      <c r="B251" s="3" t="s">
        <v>679</v>
      </c>
    </row>
    <row r="252" spans="1:2" ht="15" x14ac:dyDescent="0.25">
      <c r="A252" s="17" t="s">
        <v>455</v>
      </c>
      <c r="B252" s="3" t="s">
        <v>680</v>
      </c>
    </row>
    <row r="253" spans="1:2" ht="15" x14ac:dyDescent="0.25">
      <c r="A253" s="17" t="s">
        <v>457</v>
      </c>
      <c r="B253" s="3" t="s">
        <v>681</v>
      </c>
    </row>
    <row r="254" spans="1:2" ht="15" x14ac:dyDescent="0.25">
      <c r="A254" s="17" t="s">
        <v>459</v>
      </c>
      <c r="B254" s="3" t="s">
        <v>682</v>
      </c>
    </row>
    <row r="255" spans="1:2" ht="15" x14ac:dyDescent="0.25">
      <c r="A255" s="17" t="s">
        <v>683</v>
      </c>
      <c r="B255" s="3" t="s">
        <v>684</v>
      </c>
    </row>
    <row r="256" spans="1:2" ht="15" x14ac:dyDescent="0.25">
      <c r="A256" s="17" t="s">
        <v>685</v>
      </c>
      <c r="B256" s="3" t="s">
        <v>686</v>
      </c>
    </row>
    <row r="257" spans="1:2" ht="15" x14ac:dyDescent="0.25">
      <c r="A257" s="17" t="s">
        <v>687</v>
      </c>
      <c r="B257" s="3" t="s">
        <v>688</v>
      </c>
    </row>
    <row r="258" spans="1:2" ht="15" x14ac:dyDescent="0.25">
      <c r="A258" s="17" t="s">
        <v>689</v>
      </c>
      <c r="B258" s="3" t="s">
        <v>690</v>
      </c>
    </row>
    <row r="259" spans="1:2" ht="15" x14ac:dyDescent="0.25">
      <c r="A259" s="17" t="s">
        <v>691</v>
      </c>
      <c r="B259" s="3" t="s">
        <v>692</v>
      </c>
    </row>
    <row r="260" spans="1:2" ht="15" x14ac:dyDescent="0.25">
      <c r="A260" s="17" t="s">
        <v>693</v>
      </c>
      <c r="B260" s="3" t="s">
        <v>694</v>
      </c>
    </row>
    <row r="261" spans="1:2" ht="15" x14ac:dyDescent="0.25">
      <c r="A261" s="17" t="s">
        <v>695</v>
      </c>
      <c r="B261" s="3" t="s">
        <v>696</v>
      </c>
    </row>
    <row r="262" spans="1:2" ht="15" x14ac:dyDescent="0.25">
      <c r="A262" s="17" t="s">
        <v>697</v>
      </c>
      <c r="B262" s="3" t="s">
        <v>698</v>
      </c>
    </row>
    <row r="263" spans="1:2" ht="15" x14ac:dyDescent="0.25">
      <c r="A263" s="17" t="s">
        <v>699</v>
      </c>
      <c r="B263" s="3" t="s">
        <v>700</v>
      </c>
    </row>
    <row r="264" spans="1:2" ht="15" x14ac:dyDescent="0.25">
      <c r="A264" s="17" t="s">
        <v>701</v>
      </c>
      <c r="B264" s="3" t="s">
        <v>702</v>
      </c>
    </row>
    <row r="265" spans="1:2" ht="15" x14ac:dyDescent="0.25">
      <c r="A265" s="17" t="s">
        <v>703</v>
      </c>
      <c r="B265" s="3" t="s">
        <v>704</v>
      </c>
    </row>
    <row r="266" spans="1:2" ht="15" x14ac:dyDescent="0.25">
      <c r="A266" s="17" t="s">
        <v>705</v>
      </c>
      <c r="B266" s="3" t="s">
        <v>706</v>
      </c>
    </row>
    <row r="267" spans="1:2" ht="15" x14ac:dyDescent="0.25">
      <c r="A267" s="17" t="s">
        <v>707</v>
      </c>
      <c r="B267" s="3" t="s">
        <v>708</v>
      </c>
    </row>
    <row r="268" spans="1:2" ht="15" x14ac:dyDescent="0.25">
      <c r="A268" s="17" t="s">
        <v>709</v>
      </c>
      <c r="B268" s="3" t="s">
        <v>710</v>
      </c>
    </row>
    <row r="269" spans="1:2" ht="15" x14ac:dyDescent="0.25">
      <c r="A269" s="17" t="s">
        <v>10</v>
      </c>
      <c r="B269" s="3" t="s">
        <v>711</v>
      </c>
    </row>
    <row r="270" spans="1:2" ht="15" x14ac:dyDescent="0.25">
      <c r="A270" s="17" t="s">
        <v>712</v>
      </c>
      <c r="B270" s="3" t="s">
        <v>713</v>
      </c>
    </row>
    <row r="271" spans="1:2" ht="15" x14ac:dyDescent="0.25">
      <c r="A271" s="17" t="s">
        <v>714</v>
      </c>
      <c r="B271" s="3" t="s">
        <v>715</v>
      </c>
    </row>
    <row r="272" spans="1:2" ht="15" x14ac:dyDescent="0.25">
      <c r="A272" s="17" t="s">
        <v>716</v>
      </c>
      <c r="B272" s="3" t="s">
        <v>717</v>
      </c>
    </row>
    <row r="273" spans="1:3" ht="15" x14ac:dyDescent="0.25">
      <c r="A273" s="17" t="s">
        <v>718</v>
      </c>
      <c r="B273" s="3" t="s">
        <v>719</v>
      </c>
    </row>
    <row r="274" spans="1:3" ht="15" x14ac:dyDescent="0.25">
      <c r="A274" s="17" t="s">
        <v>720</v>
      </c>
      <c r="B274" s="3" t="s">
        <v>721</v>
      </c>
    </row>
    <row r="275" spans="1:3" ht="15" x14ac:dyDescent="0.25">
      <c r="A275" s="17" t="s">
        <v>722</v>
      </c>
      <c r="B275" s="3" t="s">
        <v>723</v>
      </c>
    </row>
    <row r="276" spans="1:3" ht="15" x14ac:dyDescent="0.25">
      <c r="A276" s="17" t="s">
        <v>724</v>
      </c>
      <c r="B276" s="3" t="s">
        <v>725</v>
      </c>
    </row>
    <row r="277" spans="1:3" ht="15" x14ac:dyDescent="0.25">
      <c r="A277" s="17" t="s">
        <v>726</v>
      </c>
      <c r="B277" s="3" t="s">
        <v>727</v>
      </c>
    </row>
    <row r="278" spans="1:3" ht="15" x14ac:dyDescent="0.25">
      <c r="A278" s="17" t="s">
        <v>728</v>
      </c>
      <c r="B278" s="3" t="s">
        <v>729</v>
      </c>
    </row>
    <row r="279" spans="1:3" ht="15" x14ac:dyDescent="0.25">
      <c r="A279" s="17" t="s">
        <v>730</v>
      </c>
      <c r="B279" s="3" t="s">
        <v>731</v>
      </c>
    </row>
    <row r="280" spans="1:3" ht="15" x14ac:dyDescent="0.25">
      <c r="A280" s="17" t="s">
        <v>732</v>
      </c>
      <c r="B280" s="3" t="s">
        <v>733</v>
      </c>
    </row>
    <row r="281" spans="1:3" ht="15" x14ac:dyDescent="0.25">
      <c r="A281" s="17" t="s">
        <v>734</v>
      </c>
      <c r="B281" s="3" t="s">
        <v>735</v>
      </c>
    </row>
    <row r="282" spans="1:3" ht="15" x14ac:dyDescent="0.25">
      <c r="A282" s="17" t="s">
        <v>736</v>
      </c>
      <c r="B282" s="3" t="s">
        <v>737</v>
      </c>
    </row>
    <row r="283" spans="1:3" ht="15" x14ac:dyDescent="0.25">
      <c r="A283" s="17" t="s">
        <v>738</v>
      </c>
      <c r="B283" s="3" t="s">
        <v>739</v>
      </c>
    </row>
    <row r="284" spans="1:3" ht="15" x14ac:dyDescent="0.25">
      <c r="A284" s="17" t="s">
        <v>740</v>
      </c>
      <c r="B284" s="3" t="s">
        <v>741</v>
      </c>
    </row>
    <row r="285" spans="1:3" ht="15" x14ac:dyDescent="0.25">
      <c r="A285" s="17" t="s">
        <v>742</v>
      </c>
      <c r="B285" s="3" t="s">
        <v>743</v>
      </c>
    </row>
    <row r="287" spans="1:3" x14ac:dyDescent="0.2">
      <c r="A287" s="2" t="s">
        <v>744</v>
      </c>
    </row>
    <row r="288" spans="1:3" ht="15" x14ac:dyDescent="0.25">
      <c r="A288" s="18" t="s">
        <v>443</v>
      </c>
      <c r="B288" t="s">
        <v>745</v>
      </c>
      <c r="C288" t="s">
        <v>746</v>
      </c>
    </row>
    <row r="289" spans="1:3" ht="15" x14ac:dyDescent="0.25">
      <c r="A289" s="18" t="s">
        <v>449</v>
      </c>
      <c r="B289" t="s">
        <v>747</v>
      </c>
      <c r="C289" t="s">
        <v>746</v>
      </c>
    </row>
    <row r="290" spans="1:3" ht="15" x14ac:dyDescent="0.25">
      <c r="A290" s="18" t="s">
        <v>451</v>
      </c>
      <c r="B290" t="s">
        <v>748</v>
      </c>
      <c r="C290" t="s">
        <v>746</v>
      </c>
    </row>
    <row r="291" spans="1:3" ht="15" x14ac:dyDescent="0.25">
      <c r="A291" s="18" t="s">
        <v>677</v>
      </c>
      <c r="B291" t="s">
        <v>749</v>
      </c>
      <c r="C291" t="s">
        <v>750</v>
      </c>
    </row>
    <row r="292" spans="1:3" ht="15" x14ac:dyDescent="0.25">
      <c r="A292" s="18" t="s">
        <v>453</v>
      </c>
      <c r="B292" t="s">
        <v>749</v>
      </c>
      <c r="C292" t="s">
        <v>746</v>
      </c>
    </row>
    <row r="293" spans="1:3" ht="15" x14ac:dyDescent="0.25">
      <c r="A293" s="18" t="s">
        <v>455</v>
      </c>
      <c r="B293" t="s">
        <v>751</v>
      </c>
      <c r="C293" t="s">
        <v>750</v>
      </c>
    </row>
    <row r="294" spans="1:3" ht="15" x14ac:dyDescent="0.25">
      <c r="A294" s="18" t="s">
        <v>457</v>
      </c>
      <c r="B294" t="s">
        <v>751</v>
      </c>
      <c r="C294" t="s">
        <v>746</v>
      </c>
    </row>
    <row r="295" spans="1:3" ht="15" x14ac:dyDescent="0.25">
      <c r="A295" s="18" t="s">
        <v>685</v>
      </c>
      <c r="B295" t="s">
        <v>752</v>
      </c>
      <c r="C295" t="s">
        <v>746</v>
      </c>
    </row>
    <row r="296" spans="1:3" ht="15" x14ac:dyDescent="0.25">
      <c r="A296" s="18" t="s">
        <v>689</v>
      </c>
      <c r="B296" t="s">
        <v>753</v>
      </c>
      <c r="C296" t="s">
        <v>750</v>
      </c>
    </row>
    <row r="297" spans="1:3" ht="15" x14ac:dyDescent="0.25">
      <c r="A297" s="18" t="s">
        <v>691</v>
      </c>
      <c r="B297" t="s">
        <v>753</v>
      </c>
      <c r="C297" t="s">
        <v>746</v>
      </c>
    </row>
    <row r="298" spans="1:3" ht="15" x14ac:dyDescent="0.25">
      <c r="A298" s="18" t="s">
        <v>693</v>
      </c>
      <c r="B298" t="s">
        <v>754</v>
      </c>
      <c r="C298" t="s">
        <v>746</v>
      </c>
    </row>
    <row r="299" spans="1:3" ht="15" x14ac:dyDescent="0.25">
      <c r="A299" s="18" t="s">
        <v>695</v>
      </c>
      <c r="B299" t="s">
        <v>755</v>
      </c>
      <c r="C299" t="s">
        <v>750</v>
      </c>
    </row>
    <row r="300" spans="1:3" ht="15" x14ac:dyDescent="0.25">
      <c r="A300" s="18" t="s">
        <v>697</v>
      </c>
      <c r="B300" t="s">
        <v>755</v>
      </c>
      <c r="C300" t="s">
        <v>746</v>
      </c>
    </row>
    <row r="301" spans="1:3" ht="15" x14ac:dyDescent="0.25">
      <c r="A301" s="18" t="s">
        <v>699</v>
      </c>
      <c r="B301" t="s">
        <v>756</v>
      </c>
      <c r="C301" t="s">
        <v>746</v>
      </c>
    </row>
    <row r="302" spans="1:3" ht="15" x14ac:dyDescent="0.25">
      <c r="A302" s="18" t="s">
        <v>757</v>
      </c>
      <c r="B302" t="s">
        <v>756</v>
      </c>
      <c r="C302" t="s">
        <v>750</v>
      </c>
    </row>
    <row r="303" spans="1:3" ht="15" x14ac:dyDescent="0.25">
      <c r="A303" s="18" t="s">
        <v>705</v>
      </c>
      <c r="B303" t="s">
        <v>758</v>
      </c>
      <c r="C303" t="s">
        <v>746</v>
      </c>
    </row>
    <row r="304" spans="1:3" ht="15" x14ac:dyDescent="0.25">
      <c r="A304" s="18" t="s">
        <v>707</v>
      </c>
      <c r="B304" t="s">
        <v>759</v>
      </c>
      <c r="C304" t="s">
        <v>746</v>
      </c>
    </row>
    <row r="305" spans="1:3" ht="15" x14ac:dyDescent="0.25">
      <c r="A305" s="18" t="s">
        <v>709</v>
      </c>
      <c r="B305" t="s">
        <v>760</v>
      </c>
      <c r="C305" t="s">
        <v>746</v>
      </c>
    </row>
    <row r="306" spans="1:3" ht="15" x14ac:dyDescent="0.25">
      <c r="A306" s="18" t="s">
        <v>720</v>
      </c>
      <c r="B306" t="s">
        <v>761</v>
      </c>
      <c r="C306" t="s">
        <v>750</v>
      </c>
    </row>
    <row r="307" spans="1:3" ht="15" x14ac:dyDescent="0.25">
      <c r="A307" s="18" t="s">
        <v>722</v>
      </c>
      <c r="B307" t="s">
        <v>761</v>
      </c>
      <c r="C307" t="s">
        <v>746</v>
      </c>
    </row>
    <row r="308" spans="1:3" ht="15" x14ac:dyDescent="0.25">
      <c r="A308" s="18" t="s">
        <v>10</v>
      </c>
      <c r="B308" t="s">
        <v>762</v>
      </c>
      <c r="C308" t="s">
        <v>750</v>
      </c>
    </row>
    <row r="309" spans="1:3" ht="15" x14ac:dyDescent="0.25">
      <c r="A309" s="18" t="s">
        <v>712</v>
      </c>
      <c r="B309" t="s">
        <v>762</v>
      </c>
      <c r="C309" t="s">
        <v>746</v>
      </c>
    </row>
    <row r="310" spans="1:3" ht="15" x14ac:dyDescent="0.25">
      <c r="A310" s="18" t="s">
        <v>763</v>
      </c>
      <c r="B310" t="s">
        <v>764</v>
      </c>
      <c r="C310" t="s">
        <v>750</v>
      </c>
    </row>
    <row r="311" spans="1:3" ht="15" x14ac:dyDescent="0.25">
      <c r="A311" s="18" t="s">
        <v>714</v>
      </c>
      <c r="B311" t="s">
        <v>764</v>
      </c>
      <c r="C311" t="s">
        <v>746</v>
      </c>
    </row>
    <row r="312" spans="1:3" ht="15" x14ac:dyDescent="0.25">
      <c r="A312" s="18" t="s">
        <v>716</v>
      </c>
      <c r="B312" t="s">
        <v>765</v>
      </c>
      <c r="C312" t="s">
        <v>750</v>
      </c>
    </row>
    <row r="313" spans="1:3" ht="15" x14ac:dyDescent="0.25">
      <c r="A313" s="18" t="s">
        <v>718</v>
      </c>
      <c r="B313" t="s">
        <v>765</v>
      </c>
      <c r="C313" t="s">
        <v>746</v>
      </c>
    </row>
    <row r="314" spans="1:3" ht="15" x14ac:dyDescent="0.25">
      <c r="A314" s="18" t="s">
        <v>766</v>
      </c>
      <c r="B314" t="s">
        <v>767</v>
      </c>
      <c r="C314" t="s">
        <v>750</v>
      </c>
    </row>
    <row r="315" spans="1:3" ht="15" x14ac:dyDescent="0.25">
      <c r="A315" s="18" t="s">
        <v>768</v>
      </c>
      <c r="B315" t="s">
        <v>767</v>
      </c>
      <c r="C315" t="s">
        <v>746</v>
      </c>
    </row>
    <row r="316" spans="1:3" ht="15" x14ac:dyDescent="0.25">
      <c r="A316" s="18" t="s">
        <v>769</v>
      </c>
      <c r="B316" t="s">
        <v>770</v>
      </c>
      <c r="C316" t="s">
        <v>746</v>
      </c>
    </row>
    <row r="319" spans="1:3" ht="21.75" x14ac:dyDescent="0.2">
      <c r="A319" s="19" t="s">
        <v>771</v>
      </c>
      <c r="B319" s="20" t="s">
        <v>772</v>
      </c>
      <c r="C319" s="15"/>
    </row>
    <row r="320" spans="1:3" ht="15" x14ac:dyDescent="0.25">
      <c r="A320" s="18" t="s">
        <v>773</v>
      </c>
      <c r="B320" t="s">
        <v>774</v>
      </c>
      <c r="C320" s="15"/>
    </row>
    <row r="321" spans="1:3" ht="15" x14ac:dyDescent="0.25">
      <c r="A321" s="18" t="s">
        <v>775</v>
      </c>
      <c r="B321" t="s">
        <v>776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2026-07-10T17:46:18Z</dcterms:created>
  <dcterms:modified xsi:type="dcterms:W3CDTF">2026-07-15T18:33:53Z</dcterms:modified>
</cp:coreProperties>
</file>