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A5893538-FCB4-4A40-A055-475EFFABA56C}" xr6:coauthVersionLast="47" xr6:coauthVersionMax="47" xr10:uidLastSave="{00000000-0000-0000-0000-000000000000}"/>
  <bookViews>
    <workbookView xWindow="-120" yWindow="-120" windowWidth="20730" windowHeight="11040" tabRatio="920" activeTab="3" xr2:uid="{365E4779-0F30-4366-ADA5-894CEE121BCE}"/>
  </bookViews>
  <sheets>
    <sheet name="ALT CADASTRAIS" sheetId="12" r:id="rId1"/>
    <sheet name="FICHA FINANCEIRA" sheetId="11" r:id="rId2"/>
    <sheet name="EVENTOS" sheetId="10" r:id="rId3"/>
    <sheet name="OCORRENCIAS" sheetId="9" r:id="rId4"/>
    <sheet name="PESSOAS" sheetId="8" r:id="rId5"/>
    <sheet name="HST TRANSF" sheetId="7" r:id="rId6"/>
    <sheet name="HST ALT SALARIAL" sheetId="6" r:id="rId7"/>
    <sheet name="FERIAS CONCEDIDAS" sheetId="5" r:id="rId8"/>
    <sheet name="FAMILIA" sheetId="4" r:id="rId9"/>
    <sheet name="CONTRATO" sheetId="3" r:id="rId10"/>
    <sheet name="CARGO" sheetId="2" r:id="rId11"/>
    <sheet name="Dicionário" sheetId="14" r:id="rId12"/>
  </sheets>
  <definedNames>
    <definedName name="_xlnm._FilterDatabase" localSheetId="9" hidden="1">'CONTRATO'!$F$1:$J$2</definedName>
    <definedName name="_xlnm._FilterDatabase" localSheetId="11" hidden="1">Dicionário!$A$1:$G$1</definedName>
    <definedName name="DadosExternos_1" localSheetId="10" hidden="1">'CARGO'!$A$1:$E$4</definedName>
    <definedName name="DadosExternos_10" localSheetId="1" hidden="1">'FICHA FINANCEIRA'!$A$1:$E$30</definedName>
    <definedName name="DadosExternos_11" localSheetId="0" hidden="1">'ALT CADASTRAIS'!$A$1:$E$11</definedName>
    <definedName name="DadosExternos_2" localSheetId="9" hidden="1">'CONTRATO'!$A$1:$E$144</definedName>
    <definedName name="DadosExternos_3" localSheetId="8" hidden="1">FAMILIA!$A$1:$E$74</definedName>
    <definedName name="DadosExternos_4" localSheetId="7" hidden="1">'FERIAS CONCEDIDAS'!$A$1:$E$9</definedName>
    <definedName name="DadosExternos_5" localSheetId="6" hidden="1">'HST ALT SALARIAL'!$A$1:$E$20</definedName>
    <definedName name="DadosExternos_6" localSheetId="5" hidden="1">'HST TRANSF'!$A$1:$E$6</definedName>
    <definedName name="DadosExternos_7" localSheetId="4" hidden="1">PESSOAS!$A$1:$E$88</definedName>
    <definedName name="DadosExternos_8" localSheetId="3" hidden="1">OCORRENCIAS!$A$1:$E$36</definedName>
    <definedName name="DadosExternos_9" localSheetId="2" hidden="1">EVENTOS!$A$1:$E$8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40" i="3" l="1"/>
  <c r="J52" i="3"/>
  <c r="J50" i="3"/>
  <c r="J45" i="3"/>
  <c r="J34" i="3"/>
  <c r="J29" i="3"/>
  <c r="J28" i="3"/>
  <c r="J27" i="3"/>
  <c r="J26" i="3"/>
  <c r="J25" i="3"/>
  <c r="J21" i="3"/>
  <c r="J5" i="3"/>
  <c r="J4" i="3"/>
  <c r="J3" i="3"/>
  <c r="F140" i="3"/>
  <c r="F139" i="3"/>
  <c r="J139" i="3" s="1"/>
  <c r="F138" i="3"/>
  <c r="J138" i="3" s="1"/>
  <c r="F137" i="3"/>
  <c r="J137" i="3" s="1"/>
  <c r="F136" i="3"/>
  <c r="J136" i="3" s="1"/>
  <c r="F135" i="3"/>
  <c r="J135" i="3" s="1"/>
  <c r="F134" i="3"/>
  <c r="J134" i="3" s="1"/>
  <c r="F133" i="3"/>
  <c r="J133" i="3" s="1"/>
  <c r="F132" i="3"/>
  <c r="J132" i="3" s="1"/>
  <c r="F131" i="3"/>
  <c r="J131" i="3" s="1"/>
  <c r="F130" i="3"/>
  <c r="J130" i="3" s="1"/>
  <c r="F129" i="3"/>
  <c r="J129" i="3" s="1"/>
  <c r="F128" i="3"/>
  <c r="J128" i="3" s="1"/>
  <c r="F127" i="3"/>
  <c r="J127" i="3" s="1"/>
  <c r="F126" i="3"/>
  <c r="J126" i="3" s="1"/>
  <c r="F125" i="3"/>
  <c r="J125" i="3" s="1"/>
  <c r="F124" i="3"/>
  <c r="J124" i="3" s="1"/>
  <c r="F123" i="3"/>
  <c r="J123" i="3" s="1"/>
  <c r="F122" i="3"/>
  <c r="J122" i="3" s="1"/>
  <c r="F121" i="3"/>
  <c r="J121" i="3" s="1"/>
  <c r="F120" i="3"/>
  <c r="J120" i="3" s="1"/>
  <c r="F119" i="3"/>
  <c r="J119" i="3" s="1"/>
  <c r="F118" i="3"/>
  <c r="J118" i="3" s="1"/>
  <c r="F117" i="3"/>
  <c r="J117" i="3" s="1"/>
  <c r="F116" i="3"/>
  <c r="J116" i="3" s="1"/>
  <c r="F115" i="3"/>
  <c r="J115" i="3" s="1"/>
  <c r="F114" i="3"/>
  <c r="J114" i="3" s="1"/>
  <c r="F113" i="3"/>
  <c r="J113" i="3" s="1"/>
  <c r="F112" i="3"/>
  <c r="J112" i="3" s="1"/>
  <c r="F111" i="3"/>
  <c r="J111" i="3" s="1"/>
  <c r="F110" i="3"/>
  <c r="J110" i="3" s="1"/>
  <c r="F109" i="3"/>
  <c r="J109" i="3" s="1"/>
  <c r="F108" i="3"/>
  <c r="J108" i="3" s="1"/>
  <c r="F107" i="3"/>
  <c r="J107" i="3" s="1"/>
  <c r="F106" i="3"/>
  <c r="J106" i="3" s="1"/>
  <c r="F105" i="3"/>
  <c r="J105" i="3" s="1"/>
  <c r="F104" i="3"/>
  <c r="J104" i="3" s="1"/>
  <c r="F103" i="3"/>
  <c r="J103" i="3" s="1"/>
  <c r="F102" i="3"/>
  <c r="J102" i="3" s="1"/>
  <c r="F101" i="3"/>
  <c r="J101" i="3" s="1"/>
  <c r="F100" i="3"/>
  <c r="J100" i="3" s="1"/>
  <c r="F99" i="3"/>
  <c r="J99" i="3" s="1"/>
  <c r="F98" i="3"/>
  <c r="J98" i="3" s="1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J51" i="3" s="1"/>
  <c r="F50" i="3"/>
  <c r="F49" i="3"/>
  <c r="J49" i="3" s="1"/>
  <c r="F48" i="3"/>
  <c r="J48" i="3" s="1"/>
  <c r="F47" i="3"/>
  <c r="J47" i="3" s="1"/>
  <c r="F46" i="3"/>
  <c r="J46" i="3" s="1"/>
  <c r="F45" i="3"/>
  <c r="F44" i="3"/>
  <c r="J44" i="3" s="1"/>
  <c r="F43" i="3"/>
  <c r="J43" i="3" s="1"/>
  <c r="F42" i="3"/>
  <c r="J42" i="3" s="1"/>
  <c r="F41" i="3"/>
  <c r="J41" i="3" s="1"/>
  <c r="F40" i="3"/>
  <c r="J40" i="3" s="1"/>
  <c r="F39" i="3"/>
  <c r="J39" i="3" s="1"/>
  <c r="F38" i="3"/>
  <c r="J38" i="3" s="1"/>
  <c r="F37" i="3"/>
  <c r="J37" i="3" s="1"/>
  <c r="F36" i="3"/>
  <c r="J36" i="3" s="1"/>
  <c r="F35" i="3"/>
  <c r="J35" i="3" s="1"/>
  <c r="F34" i="3"/>
  <c r="F33" i="3"/>
  <c r="J33" i="3" s="1"/>
  <c r="F32" i="3"/>
  <c r="J32" i="3" s="1"/>
  <c r="F31" i="3"/>
  <c r="J31" i="3" s="1"/>
  <c r="F30" i="3"/>
  <c r="J30" i="3" s="1"/>
  <c r="F29" i="3"/>
  <c r="F28" i="3"/>
  <c r="F27" i="3"/>
  <c r="F26" i="3"/>
  <c r="F25" i="3"/>
  <c r="F24" i="3"/>
  <c r="J24" i="3" s="1"/>
  <c r="F23" i="3"/>
  <c r="J23" i="3" s="1"/>
  <c r="F22" i="3"/>
  <c r="J22" i="3" s="1"/>
  <c r="F21" i="3"/>
  <c r="F20" i="3"/>
  <c r="F19" i="3"/>
  <c r="F18" i="3"/>
  <c r="F17" i="3"/>
  <c r="F16" i="3"/>
  <c r="F15" i="3"/>
  <c r="F14" i="3"/>
  <c r="F13" i="3"/>
  <c r="J13" i="3" s="1"/>
  <c r="F12" i="3"/>
  <c r="J12" i="3" s="1"/>
  <c r="F11" i="3"/>
  <c r="J11" i="3" s="1"/>
  <c r="F10" i="3"/>
  <c r="J10" i="3" s="1"/>
  <c r="F9" i="3"/>
  <c r="J9" i="3" s="1"/>
  <c r="F8" i="3"/>
  <c r="J8" i="3" s="1"/>
  <c r="F7" i="3"/>
  <c r="J7" i="3" s="1"/>
  <c r="F6" i="3"/>
  <c r="J6" i="3" s="1"/>
  <c r="F5" i="3"/>
  <c r="F4" i="3"/>
  <c r="F3" i="3"/>
  <c r="F2" i="3"/>
  <c r="J2" i="3" s="1"/>
  <c r="I3" i="5"/>
  <c r="H3" i="5"/>
  <c r="I2" i="5"/>
  <c r="H2" i="5"/>
  <c r="J3" i="5"/>
  <c r="J4" i="5"/>
  <c r="J5" i="5"/>
  <c r="J6" i="5"/>
  <c r="J7" i="5"/>
  <c r="J8" i="5"/>
  <c r="J9" i="5"/>
  <c r="F9" i="5"/>
  <c r="F8" i="5"/>
  <c r="F7" i="5"/>
  <c r="F6" i="5"/>
  <c r="F5" i="5"/>
  <c r="F4" i="5"/>
  <c r="F3" i="5"/>
  <c r="F49" i="4"/>
  <c r="F48" i="4"/>
  <c r="F47" i="4"/>
  <c r="F46" i="4"/>
  <c r="F45" i="4"/>
  <c r="F44" i="4"/>
  <c r="F43" i="4"/>
  <c r="F40" i="4"/>
  <c r="F37" i="4"/>
  <c r="F34" i="4"/>
  <c r="F74" i="4"/>
  <c r="F73" i="4"/>
  <c r="F59" i="4"/>
  <c r="F58" i="4"/>
  <c r="F26" i="4"/>
  <c r="F12" i="4"/>
  <c r="F8" i="4"/>
  <c r="F7" i="4"/>
  <c r="F6" i="4"/>
  <c r="F5" i="4"/>
  <c r="F4" i="4"/>
  <c r="F3" i="4"/>
  <c r="J4" i="2"/>
  <c r="J3" i="2"/>
  <c r="J2" i="12"/>
  <c r="J2" i="11"/>
  <c r="J2" i="10"/>
  <c r="J2" i="9"/>
  <c r="J2" i="8"/>
  <c r="J2" i="7"/>
  <c r="J2" i="6"/>
  <c r="J2" i="5"/>
  <c r="J2" i="4"/>
  <c r="J2" i="2"/>
  <c r="F4" i="2"/>
  <c r="F3" i="2"/>
  <c r="F2" i="12"/>
  <c r="F2" i="11"/>
  <c r="F2" i="10"/>
  <c r="F2" i="9"/>
  <c r="F2" i="8"/>
  <c r="F2" i="7"/>
  <c r="F2" i="6"/>
  <c r="F2" i="5"/>
  <c r="F2" i="4"/>
  <c r="F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19C932-CC62-4410-90F0-056FCFCD728D}" keepAlive="1" name="Consulta - ALT CADASTRAIS" description="Conexão com a consulta 'ALT CADASTRAIS' na pasta de trabalho." type="5" refreshedVersion="7" background="1" saveData="1">
    <dbPr connection="Provider=Microsoft.Mashup.OleDb.1;Data Source=$Workbook$;Location=&quot;ALT CADASTRAIS&quot;;Extended Properties=&quot;&quot;" command="SELECT * FROM [ALT CADASTRAIS]"/>
  </connection>
  <connection id="2" xr16:uid="{F3C7EE0F-5F74-4BB9-8DC0-257475A4DA47}" keepAlive="1" name="Consulta - CARGO" description="Conexão com a consulta 'CARGO' na pasta de trabalho." type="5" refreshedVersion="7" background="1" saveData="1">
    <dbPr connection="Provider=Microsoft.Mashup.OleDb.1;Data Source=$Workbook$;Location=CARGO;Extended Properties=&quot;&quot;" command="SELECT * FROM [CARGO]"/>
  </connection>
  <connection id="3" xr16:uid="{5059BC49-B694-40EC-B4BD-7FD697480498}" keepAlive="1" name="Consulta - CONTRATO" description="Conexão com a consulta 'CONTRATO' na pasta de trabalho." type="5" refreshedVersion="7" background="1" saveData="1">
    <dbPr connection="Provider=Microsoft.Mashup.OleDb.1;Data Source=$Workbook$;Location=CONTRATO;Extended Properties=&quot;&quot;" command="SELECT * FROM [CONTRATO]"/>
  </connection>
  <connection id="4" xr16:uid="{EB16DA82-1A33-46B9-9491-985A6E7E26C6}" keepAlive="1" name="Consulta - EVENTOS" description="Conexão com a consulta 'EVENTOS' na pasta de trabalho." type="5" refreshedVersion="7" background="1" saveData="1">
    <dbPr connection="Provider=Microsoft.Mashup.OleDb.1;Data Source=$Workbook$;Location=EVENTOS;Extended Properties=&quot;&quot;" command="SELECT * FROM [EVENTOS]"/>
  </connection>
  <connection id="5" xr16:uid="{A962E851-0E7C-4D4E-835A-2FC26FE68457}" keepAlive="1" name="Consulta - FAMILIA" description="Conexão com a consulta 'FAMILIA' na pasta de trabalho." type="5" refreshedVersion="7" background="1" saveData="1">
    <dbPr connection="Provider=Microsoft.Mashup.OleDb.1;Data Source=$Workbook$;Location=FAMILIA;Extended Properties=&quot;&quot;" command="SELECT * FROM [FAMILIA]"/>
  </connection>
  <connection id="6" xr16:uid="{E8D6DEDD-44E6-4EFA-B4EB-6C65B2859D88}" keepAlive="1" name="Consulta - FERIAS CONCEDIDAS" description="Conexão com a consulta 'FERIAS CONCEDIDAS' na pasta de trabalho." type="5" refreshedVersion="7" background="1" saveData="1">
    <dbPr connection="Provider=Microsoft.Mashup.OleDb.1;Data Source=$Workbook$;Location=&quot;FERIAS CONCEDIDAS&quot;;Extended Properties=&quot;&quot;" command="SELECT * FROM [FERIAS CONCEDIDAS]"/>
  </connection>
  <connection id="7" xr16:uid="{E14E477F-5433-401C-AF52-E9B6E9420C42}" keepAlive="1" name="Consulta - FICHA FINANCEIRA" description="Conexão com a consulta 'FICHA FINANCEIRA' na pasta de trabalho." type="5" refreshedVersion="7" background="1" saveData="1">
    <dbPr connection="Provider=Microsoft.Mashup.OleDb.1;Data Source=$Workbook$;Location=&quot;FICHA FINANCEIRA&quot;;Extended Properties=&quot;&quot;" command="SELECT * FROM [FICHA FINANCEIRA]"/>
  </connection>
  <connection id="8" xr16:uid="{3A614D18-0499-4D6C-8A58-5886F44E3061}" keepAlive="1" name="Consulta - HST ALT SALARIAL" description="Conexão com a consulta 'HST ALT SALARIAL' na pasta de trabalho." type="5" refreshedVersion="7" background="1" saveData="1">
    <dbPr connection="Provider=Microsoft.Mashup.OleDb.1;Data Source=$Workbook$;Location=&quot;HST ALT SALARIAL&quot;;Extended Properties=&quot;&quot;" command="SELECT * FROM [HST ALT SALARIAL]"/>
  </connection>
  <connection id="9" xr16:uid="{B39431A4-1D66-4901-9D20-86C079CCF72B}" keepAlive="1" name="Consulta - HST TRANSF" description="Conexão com a consulta 'HST TRANSF' na pasta de trabalho." type="5" refreshedVersion="7" background="1" saveData="1">
    <dbPr connection="Provider=Microsoft.Mashup.OleDb.1;Data Source=$Workbook$;Location=&quot;HST TRANSF&quot;;Extended Properties=&quot;&quot;" command="SELECT * FROM [HST TRANSF]"/>
  </connection>
  <connection id="10" xr16:uid="{784911D9-744A-4C5D-82DD-EAE6EC19AAF8}" keepAlive="1" name="Consulta - OCORRENCIAS" description="Conexão com a consulta 'OCORRENCIAS' na pasta de trabalho." type="5" refreshedVersion="7" background="1" saveData="1">
    <dbPr connection="Provider=Microsoft.Mashup.OleDb.1;Data Source=$Workbook$;Location=OCORRENCIAS;Extended Properties=&quot;&quot;" command="SELECT * FROM [OCORRENCIAS]"/>
  </connection>
  <connection id="11" xr16:uid="{D573CFF1-7FBD-412A-BB6F-A8785B066BE9}" keepAlive="1" name="Consulta - PESSOAS" description="Conexão com a consulta 'PESSOAS' na pasta de trabalho." type="5" refreshedVersion="7" background="1" saveData="1">
    <dbPr connection="Provider=Microsoft.Mashup.OleDb.1;Data Source=$Workbook$;Location=PESSOAS;Extended Properties=&quot;&quot;" command="SELECT * FROM [PESSOAS]"/>
  </connection>
</connections>
</file>

<file path=xl/sharedStrings.xml><?xml version="1.0" encoding="utf-8"?>
<sst xmlns="http://schemas.openxmlformats.org/spreadsheetml/2006/main" count="2092" uniqueCount="798">
  <si>
    <t>TM</t>
  </si>
  <si>
    <t>F</t>
  </si>
  <si>
    <t>D</t>
  </si>
  <si>
    <t>OBR.</t>
  </si>
  <si>
    <t>DESCRIÇÃO</t>
  </si>
  <si>
    <t>008</t>
  </si>
  <si>
    <t>C</t>
  </si>
  <si>
    <t/>
  </si>
  <si>
    <t>Sim</t>
  </si>
  <si>
    <t>Código do Cargo</t>
  </si>
  <si>
    <t>040</t>
  </si>
  <si>
    <t>Descrição do Cargo</t>
  </si>
  <si>
    <t>006</t>
  </si>
  <si>
    <t>CBO</t>
  </si>
  <si>
    <t>Código da Empresa, cfe. Tabela de Empresas</t>
  </si>
  <si>
    <t>Código do Estabelecimento Atual, cfe. Tabela de Estabelecimentos</t>
  </si>
  <si>
    <t>Código da Unidade, cfe. Tabela de Unidades</t>
  </si>
  <si>
    <t>N</t>
  </si>
  <si>
    <t>Código do Contrato</t>
  </si>
  <si>
    <t>Código da Pessoa, cfe. Tabela de Pessoas</t>
  </si>
  <si>
    <t>1 – Ativo</t>
  </si>
  <si>
    <t>2 – Afastado</t>
  </si>
  <si>
    <t>3 – Rescindido no Mês</t>
  </si>
  <si>
    <t>4 – Rescindido em Meses Anteriores</t>
  </si>
  <si>
    <t>Data de Admissão</t>
  </si>
  <si>
    <t>1 – Mensal</t>
  </si>
  <si>
    <t>2 – Por Quinzena</t>
  </si>
  <si>
    <t>3 – Por Semana</t>
  </si>
  <si>
    <t>4 – Por Dia</t>
  </si>
  <si>
    <t>5 – Por Hora</t>
  </si>
  <si>
    <t>6 – Por Tarefa</t>
  </si>
  <si>
    <t>7 – Outros</t>
  </si>
  <si>
    <t>Não</t>
  </si>
  <si>
    <t>Salário Contratual, cfe. Tipo de Salário</t>
  </si>
  <si>
    <t>Horas Contratuais, cfe. Tipo de Salário. Informar Horas/Mês nos contratos
de Horistas (Tipo de Salário “5”).</t>
  </si>
  <si>
    <t>Percentual de Insalubridade</t>
  </si>
  <si>
    <t>Percentual de Periculosidade</t>
  </si>
  <si>
    <t>00 – Nunca esteve exposto</t>
  </si>
  <si>
    <t>01 – Não exposto, mas já esteve</t>
  </si>
  <si>
    <t>02 – Exposto com aposentadoria aos 15 anos</t>
  </si>
  <si>
    <t>03 – Exposto com aposentadoria aos 20 anos</t>
  </si>
  <si>
    <t>04 – Exposto com aposentadoria aos 25 anos</t>
  </si>
  <si>
    <t>05 – Não exposto com mais de um vínculo</t>
  </si>
  <si>
    <t>06 – Exposto c/aposentadoria 15 anos e mais de um vínculo</t>
  </si>
  <si>
    <t>07 – Exposto c/aposentadoria 20 anos e mais de um vínculo</t>
  </si>
  <si>
    <t>08 – Exposto c/aposentadoria 25 anos e mais de um vínculo</t>
  </si>
  <si>
    <t>Número do Banco do Funcionário (Banco Central)</t>
  </si>
  <si>
    <t>Agencia Bancária do Funcionário</t>
  </si>
  <si>
    <t>Dígito da Agência Bancária do Funcionário</t>
  </si>
  <si>
    <t>Número/Dígito da Conta Corrente</t>
  </si>
  <si>
    <t>Cadastro do Empregado na CEF (para o FGTS)</t>
  </si>
  <si>
    <t>Data de Início do Contrato de Experiência/Temporário</t>
  </si>
  <si>
    <t>Data de Término do Contrato de Experiência/Temporário</t>
  </si>
  <si>
    <t>Número de Dias do Contrato de Experiência/Temporário</t>
  </si>
  <si>
    <t>Data de Início da Prorrogação do Contrato de Experiência</t>
  </si>
  <si>
    <t>Data de Término da Prorrogação do Contrato de Experiência</t>
  </si>
  <si>
    <t>Número de Dias da Prorrogação do Contrato de Experiência</t>
  </si>
  <si>
    <t>Data da Rescisão</t>
  </si>
  <si>
    <t>Código do Cargo, cfe. Tabela de Cargos</t>
  </si>
  <si>
    <t>Matrícula para o eSocial</t>
  </si>
  <si>
    <t>Tipo de Contrato</t>
  </si>
  <si>
    <t>1 - Determinado</t>
  </si>
  <si>
    <t>2 - Efetivo</t>
  </si>
  <si>
    <t>Motivo de Rescisão Darwin</t>
  </si>
  <si>
    <t>001 – Demissão com Justa Causa</t>
  </si>
  <si>
    <t>002 – Demissão Sem Justa Causa</t>
  </si>
  <si>
    <t>003 – Pedido de Demissão Sem Justa Causa</t>
  </si>
  <si>
    <t>005 – Rescisão Por Término de Contrato Prazo Determinado</t>
  </si>
  <si>
    <t>006 – Resc. Ant. do Contr. Por Prazo Determinado p/Empregado</t>
  </si>
  <si>
    <t>007 – Resc. Ant. do Contr. Por Prazo Determinado p/Empresa</t>
  </si>
  <si>
    <t>008 – Rescisão p/Término de Contr. Temporário</t>
  </si>
  <si>
    <t>009 – Rescisão por Dispensa Indireta</t>
  </si>
  <si>
    <t>010 – Rescisão por Culpa Recíproca</t>
  </si>
  <si>
    <t>011 – Transferência de Estab. c/Ônus p/Cedente</t>
  </si>
  <si>
    <t>012 – Transferência de Estab. s/Ônus p/Cedente</t>
  </si>
  <si>
    <t>013 – Mudança de Regime Trabalhista</t>
  </si>
  <si>
    <t>014 – Reforma de Militar</t>
  </si>
  <si>
    <t>015 – Demissão sem Justa Causa Empr. Doméstico</t>
  </si>
  <si>
    <t>016 – Rescisão por Acordo Entre as Partes</t>
  </si>
  <si>
    <t>017 – Desligamento p/Tranf. Outro Sistema</t>
  </si>
  <si>
    <t>020 – Falecimento</t>
  </si>
  <si>
    <t>021 – Falecimento Decorr. de Acidente do Trabalho</t>
  </si>
  <si>
    <t>022 – Falecimento Decorr. de Doença Pr.</t>
  </si>
  <si>
    <t>023 – Falecimento Decorr. de Acidente no Trajeto</t>
  </si>
  <si>
    <t>030 – Aposentadoria por Tempo de Serviço</t>
  </si>
  <si>
    <t>031 – Aposentadoria por Idade</t>
  </si>
  <si>
    <t>032 – Aposentadoria por Invalidez</t>
  </si>
  <si>
    <t>033 – Aposentadoria p/Invalidez Dec.Acid.Trab.</t>
  </si>
  <si>
    <t>034 – Aposentadoria p/Invalidez Dec.Doença Pr.</t>
  </si>
  <si>
    <t>035 - Aposentadoria Compulsória</t>
  </si>
  <si>
    <t>036 - Aposentadoria Especial</t>
  </si>
  <si>
    <t>037 - Termino de Contrato - Estagiário</t>
  </si>
  <si>
    <t>040 - Posse em outro Cargo Inacumulável</t>
  </si>
  <si>
    <t>041 - Rescisão determinada pela Justiça</t>
  </si>
  <si>
    <t>043 - Rescisão por Nulidade do Contrato Trab.</t>
  </si>
  <si>
    <t>044 - Exoneração Diretor Não Empreg. s/J Causa</t>
  </si>
  <si>
    <t>045 - Término de Mandato do Diretor Não Empreg</t>
  </si>
  <si>
    <t>046 - Exoneração a pedido de Diretor Não Empr.</t>
  </si>
  <si>
    <t>047 - Exoneração Diretor Não Empreg. Culpa Rec</t>
  </si>
  <si>
    <t>048 - Morte do Diretor Não Empregado</t>
  </si>
  <si>
    <t>049 - Exoneração Diretor Não Empregado p/Falên</t>
  </si>
  <si>
    <t>1401 - Aprendiz - Término de Contrato</t>
  </si>
  <si>
    <t>1402 - Aprendiz - Implemento da Idade</t>
  </si>
  <si>
    <t>1403 - Aprendiz - Desemp. Insuf. ou Inadaptação</t>
  </si>
  <si>
    <t>Transportador autônomo de carga</t>
  </si>
  <si>
    <t>203 - Freteiro - Passageiros, categoria e-Social 711 - Contribuinte individual
– Transportador autônomo de passageiros</t>
  </si>
  <si>
    <t>204 - Cooperado - Presta Serviços à Entidade.Beneficente, categoria e-Social
731 - Contribuinte individual – Cooperado que presta serviços por
intermédio de Cooperativa de Trabalho</t>
  </si>
  <si>
    <t>205 - Freteiro Cooperado - Presta Serviço Entidade Beneficente, categoria
e-Social 734 - Contribuinte individual – Transportador Cooperado que presta
serviços por intermédio de cooperativa de trabalho</t>
  </si>
  <si>
    <t>206 - Médico Residente, categoria e-Social 902 - Médico Residente</t>
  </si>
  <si>
    <t>207 - MEI - Microempreendedor Individual, categoria e-Social 741 -Contribuinte individual - Microempreendedor Individual</t>
  </si>
  <si>
    <t>301 - Empregado(a) Doméstico(a), categoria e-Social 104 - Empregado-Doméstico</t>
  </si>
  <si>
    <t>302 - CLT - Empregador Pessoa Física, categoria e-Social 101 -Empregado
– Geral, inclusive o empregado público da administração direta ou indireta
contratado pela CLT</t>
  </si>
  <si>
    <t>303 - Autônomo - Empregador Pessoa Física, categoria e-Social 701 -Contribuinte – Autônomo em geral, exceto se enquadrado em individual
uma das demais categorias de contribuinte individual</t>
  </si>
  <si>
    <t>304 - Freteiro - Empregador Pessoa Física - Passageiros, categoria e-Social
711 - Contribuinte individual – Transportador autônomo de passageiros</t>
  </si>
  <si>
    <t>305 - Freteiro - Empregador Pessoa Física - Cargas, categoria e-Social 712
- Contribuinte individual – Transportador autônomo de carga</t>
  </si>
  <si>
    <t>306 - Trabalhador Rural - Empregador Pessoa Física, categoria e-Social 101
-Empregado – Geral, inclusive o empregado público da administração direta
ou indireta contratado pela CLT</t>
  </si>
  <si>
    <t>Tipo de Admissão para o eSocial</t>
  </si>
  <si>
    <t>1 – Admissão</t>
  </si>
  <si>
    <t>2 – Transferência de empresa do mesmo grupo econômico</t>
  </si>
  <si>
    <t>3 - Transferência de empresa consorciada ou de outro
consorcio.</t>
  </si>
  <si>
    <t>4 – Transferência por motivo de sucessão incorporação,
cisão ou fusão</t>
  </si>
  <si>
    <t>Código da Pessoa</t>
  </si>
  <si>
    <t>Nome da Pessoa</t>
  </si>
  <si>
    <t>Nome do Pai</t>
  </si>
  <si>
    <t>Nome da Mãe</t>
  </si>
  <si>
    <t>Data de Nascimento</t>
  </si>
  <si>
    <t>Local do Nascimento</t>
  </si>
  <si>
    <t>UF do Nascimento</t>
  </si>
  <si>
    <t>Sexo:</t>
  </si>
  <si>
    <t>M – Masculino</t>
  </si>
  <si>
    <t>F – Feminino</t>
  </si>
  <si>
    <t>Raça/Cor:</t>
  </si>
  <si>
    <t>1 – Indígena</t>
  </si>
  <si>
    <t>2 – Branca</t>
  </si>
  <si>
    <t>4 – Preta</t>
  </si>
  <si>
    <t>6 – Amarela</t>
  </si>
  <si>
    <t>8 – Parda</t>
  </si>
  <si>
    <t>9 - Não Informada</t>
  </si>
  <si>
    <t>Deficiente Físico:</t>
  </si>
  <si>
    <t>0 – Não Deficiente</t>
  </si>
  <si>
    <t>1 – Deficiente Físico</t>
  </si>
  <si>
    <t>2 – Deficiente Auditivo</t>
  </si>
  <si>
    <t>3 – Deficiente Visual</t>
  </si>
  <si>
    <t>4 – Deficiente Mental (Intelectual)</t>
  </si>
  <si>
    <t>5 – Deficiente Múltiplo</t>
  </si>
  <si>
    <t>Rua (endereço)</t>
  </si>
  <si>
    <t>Número (endereço)</t>
  </si>
  <si>
    <t>Complemento (endereço)</t>
  </si>
  <si>
    <t>Bairro</t>
  </si>
  <si>
    <t>Cidade</t>
  </si>
  <si>
    <t>CEP</t>
  </si>
  <si>
    <t>UF</t>
  </si>
  <si>
    <t>DDD</t>
  </si>
  <si>
    <t>Telefone</t>
  </si>
  <si>
    <t>Email</t>
  </si>
  <si>
    <t>PIS</t>
  </si>
  <si>
    <t>Data do Cadastramento do PIS</t>
  </si>
  <si>
    <t>CPF</t>
  </si>
  <si>
    <t>Identidade (RE ou RG)</t>
  </si>
  <si>
    <t>Data da Emissão da Identidade</t>
  </si>
  <si>
    <t>Órgão Emissor da Identidade</t>
  </si>
  <si>
    <t>UF da Identidade</t>
  </si>
  <si>
    <t>Título Eleitoral</t>
  </si>
  <si>
    <t>Zona Eleitoral</t>
  </si>
  <si>
    <t>Seção Eleitoral</t>
  </si>
  <si>
    <t>Aposentado:</t>
  </si>
  <si>
    <t>0 – Não Aposentado</t>
  </si>
  <si>
    <t>1 – Aposentado</t>
  </si>
  <si>
    <t>Data da Aposentadoria</t>
  </si>
  <si>
    <t>Estado Civil:</t>
  </si>
  <si>
    <t>01 – Solteiro</t>
  </si>
  <si>
    <t>02 – Casado</t>
  </si>
  <si>
    <t>03 – Viúvo</t>
  </si>
  <si>
    <t>04 – Separado</t>
  </si>
  <si>
    <t>05 – Divorciado</t>
  </si>
  <si>
    <t>Grau de Instrução:</t>
  </si>
  <si>
    <t>01 – Analfabeto</t>
  </si>
  <si>
    <t>02 – Até o 5º Ano Incompleto do Ensino Fundamental</t>
  </si>
  <si>
    <t>03 – 5º Ano Completo do Ensino Fundamental</t>
  </si>
  <si>
    <t>04 – Do 6º ao 9º Ano do Ensino Fundamental Incompleto</t>
  </si>
  <si>
    <t>05 – Ensino Fundamental Completo</t>
  </si>
  <si>
    <t>06 - Ensino Médio Incompleto</t>
  </si>
  <si>
    <t>07 – Ensino Médio Completo</t>
  </si>
  <si>
    <t>09 – Educação Superior Incompleta</t>
  </si>
  <si>
    <t>10 – Educação Superior Completa</t>
  </si>
  <si>
    <t>11 – Pós-Graduado</t>
  </si>
  <si>
    <t>12 – Mestrado Completo</t>
  </si>
  <si>
    <t>13 – Doutorado Completo</t>
  </si>
  <si>
    <t>Nacionalidade (cfe. Tabela da Rais)</t>
  </si>
  <si>
    <t>DDD do Telefone Celular</t>
  </si>
  <si>
    <t>Número do Telefone Celular</t>
  </si>
  <si>
    <t>Certificado de Reservista</t>
  </si>
  <si>
    <t>Registro da Carteira de Habilitação</t>
  </si>
  <si>
    <t>Categoria da Carteira de Habilitação</t>
  </si>
  <si>
    <t>Data de Validade da Carteira de Habilitação</t>
  </si>
  <si>
    <t>Órgão Emissor da Carteira de Habilitação</t>
  </si>
  <si>
    <t>UF da Carteira de Habilitação</t>
  </si>
  <si>
    <t>Número do Cartão do SUS</t>
  </si>
  <si>
    <t>Número do Registro de Identidade Civil (RIC)</t>
  </si>
  <si>
    <t>Data de Expedição do Registro de Identidade Civil (RIC)</t>
  </si>
  <si>
    <t>Órgão Emissor do Registro de Identidade Civil (RIC)</t>
  </si>
  <si>
    <t>Número da Carteira de Trabalho</t>
  </si>
  <si>
    <t>Série da Carteira de Trabalho</t>
  </si>
  <si>
    <t>Data de Emissão da Carteira de Trabalho</t>
  </si>
  <si>
    <t>UF da Carteira de Trabalho</t>
  </si>
  <si>
    <t>Nome Completo</t>
  </si>
  <si>
    <t>Data de Expedição da Carteira de Habilitação</t>
  </si>
  <si>
    <t>Data de Início da Ocorrência</t>
  </si>
  <si>
    <t>Ocorrência:</t>
  </si>
  <si>
    <t>004 – Licença Maternidade – Intervalo de datas</t>
  </si>
  <si>
    <t>009 – Maternidade Empresa Cidadã – Intervalo de datas</t>
  </si>
  <si>
    <t>010 - Licença Paternidade – Intervalo de datas</t>
  </si>
  <si>
    <t>011 – Acidente de Trabalho Típico - Horas</t>
  </si>
  <si>
    <t>012 - Acidente de Trabalho Típico – Intervalo de datas</t>
  </si>
  <si>
    <t>013 – Acidente de Trabalho Trajeto - Horas</t>
  </si>
  <si>
    <t>014 – Acidente de Trabalho Trajeto – Intervalo de datas</t>
  </si>
  <si>
    <t>017 – Reencaminhamento Acidente/Doença do Trabalho – Intervalo datas</t>
  </si>
  <si>
    <t>021 – Doença não Relacionada ao Trabalho - Horas</t>
  </si>
  <si>
    <t>022 – Doença não Relacionada ao Trabalho – Intervalo de Datas</t>
  </si>
  <si>
    <t>023 – Reencaminhamento Doença não Relacionada ao Trab. – Intervalo
Datas</t>
  </si>
  <si>
    <t>031 – Auxílio Reclusão – Intervalo de datas</t>
  </si>
  <si>
    <t>032 – Serviço Militar – Intervalo de datas</t>
  </si>
  <si>
    <t>998 – Serviço Militar - Horas</t>
  </si>
  <si>
    <t>035 – Afastamento por Invalidez – Intervalo de datas</t>
  </si>
  <si>
    <t>036 – Licença Remunerada – Intervalo de datas</t>
  </si>
  <si>
    <t>037 – Licença Não Remunerada – Intervalo de datas</t>
  </si>
  <si>
    <t>046 – Faltas Legais - Horas</t>
  </si>
  <si>
    <t>047 – Faltas Legais – Intervalo de datas</t>
  </si>
  <si>
    <t>040 – Faltas Justificadas – Horas</t>
  </si>
  <si>
    <t>041 – Faltas Justificadas – Intervalo de datas</t>
  </si>
  <si>
    <t>042 – Faltas Não Justificadas - Horas</t>
  </si>
  <si>
    <t>043 – Faltas Não Justificadas – Intervalo de datas</t>
  </si>
  <si>
    <t>044 – Meias Faltas ou Atrasos – Horas</t>
  </si>
  <si>
    <t>045 – Meias Faltas ou Atrasos – Intervalo de datas</t>
  </si>
  <si>
    <t>061 – Cedido para o Sindicato – Horas</t>
  </si>
  <si>
    <t>062 - Cedido para o Sindicato – Intervalo de datas</t>
  </si>
  <si>
    <t>071 – Suspensão do Contrato MP 936/1045</t>
  </si>
  <si>
    <t>Data de Término da Ocorrência</t>
  </si>
  <si>
    <t>Horas da ocorrência quando for somente um dia (Formato: HHH:MM)</t>
  </si>
  <si>
    <t>Texto da Ocorrência</t>
  </si>
  <si>
    <t>Código do Vencimento, Desconto ou Base Metadados (Destino)</t>
  </si>
  <si>
    <t>Código do Vencimento, Desconto ou Base do sistema de Origem</t>
  </si>
  <si>
    <t>Descrição do VDB</t>
  </si>
  <si>
    <t>Tipo do VDB:</t>
  </si>
  <si>
    <t>V – Vencimento</t>
  </si>
  <si>
    <t>D – Desconto</t>
  </si>
  <si>
    <t>B – Base</t>
  </si>
  <si>
    <t>Data da Alteração</t>
  </si>
  <si>
    <t>Variável:</t>
  </si>
  <si>
    <t>CCON – Código do Contrato</t>
  </si>
  <si>
    <t>TADM – Tipo de Admissão (admissão, transferência de entrada)</t>
  </si>
  <si>
    <t>Novo Código, cfe. Variável acima</t>
  </si>
  <si>
    <t>Novo Conteúdo. Descrição do Novo Código na época da
alteração. Caso não seja informada, será gravada a atual.</t>
  </si>
  <si>
    <t>Código Antigo, cfe. Variável acima. OBS.: Campo obrigatório nas
conversões para o Darwin.</t>
  </si>
  <si>
    <t>Conteúdo Antigo. Descrição do Código Antigo na época da
alteração. Caso não seja informada, será gravada a atual. OBS.:
Campo obrigatório nas conversões para o Darwin.</t>
  </si>
  <si>
    <t>Data de Início de Gozo das Férias</t>
  </si>
  <si>
    <t>Data de Término de Gozo das Férias</t>
  </si>
  <si>
    <t>Data de Início do Período Aquisitivo</t>
  </si>
  <si>
    <t>Data de Término do Período Aquisitivo</t>
  </si>
  <si>
    <t>Dias de Férias Cedidos</t>
  </si>
  <si>
    <t>Dias de Abono Cedidos</t>
  </si>
  <si>
    <t>(Se</t>
  </si>
  <si>
    <t>Data da Transferência</t>
  </si>
  <si>
    <t>Código do Estabelecimento Origem, cfe. Tabela de Estabelecimentos</t>
  </si>
  <si>
    <t>Código do Estabelecimento Destino, cfe. Tabela de Estabelecimentos</t>
  </si>
  <si>
    <t>Familiar (Número Sequencial), iniciando em “01” a cada Pessoa</t>
  </si>
  <si>
    <t>Nome do Familiar</t>
  </si>
  <si>
    <t>Local de Nascimento</t>
  </si>
  <si>
    <t>Grau de Parentesco:</t>
  </si>
  <si>
    <t>0 – Nenhum Parentesco</t>
  </si>
  <si>
    <t>1 – Filho(a) ou Enteado(a)</t>
  </si>
  <si>
    <t>2 – Neto(a)</t>
  </si>
  <si>
    <t>3 – Bisneto(a)</t>
  </si>
  <si>
    <t>4 – Esposo(a)</t>
  </si>
  <si>
    <t>5 – Pai ou Mãe</t>
  </si>
  <si>
    <t>6 – Avô ou Avó</t>
  </si>
  <si>
    <t>7 – Bisavô ou Bisavó</t>
  </si>
  <si>
    <t>9 – Outro Parentesco</t>
  </si>
  <si>
    <t>A – Irmão(ã)</t>
  </si>
  <si>
    <t>B – Sobrinho(a)</t>
  </si>
  <si>
    <t>C – Sogro(a)</t>
  </si>
  <si>
    <t>D – Nora/Genro</t>
  </si>
  <si>
    <t>Grau de Dependência:</t>
  </si>
  <si>
    <t>0 – Nenhuma Dependência</t>
  </si>
  <si>
    <t>1 – Menor de 21 anos</t>
  </si>
  <si>
    <t>2 – Menor de 25 anos Estudante</t>
  </si>
  <si>
    <t>3 – Inválido</t>
  </si>
  <si>
    <t>4 – Cônjuge sem Renda</t>
  </si>
  <si>
    <t>5 – Idoso sem Renda</t>
  </si>
  <si>
    <t>6 – Filha Solteira Maior de 21 anos</t>
  </si>
  <si>
    <t>Dependente para Salário Família:</t>
  </si>
  <si>
    <t>S – Sim</t>
  </si>
  <si>
    <t>N – Não</t>
  </si>
  <si>
    <t>Dependente para o IRF:</t>
  </si>
  <si>
    <t>Dependente do Auxílio Creche:</t>
  </si>
  <si>
    <t>Cartório do Registro de Nascimento</t>
  </si>
  <si>
    <t>Número do Registro de Nascimento</t>
  </si>
  <si>
    <t>Livro do Registro de Nascimento</t>
  </si>
  <si>
    <t>Página do Registro de Nascimento</t>
  </si>
  <si>
    <t>Data da Entrega da Certidão de Nascimento</t>
  </si>
  <si>
    <t>Data da Baixa da Certidão de Nascimento</t>
  </si>
  <si>
    <t>06 – União Estável Solteiro</t>
  </si>
  <si>
    <t>07 – União Estável Divorciado</t>
  </si>
  <si>
    <t>08 – União Estável Viúvo</t>
  </si>
  <si>
    <t>Grau de Instrução</t>
  </si>
  <si>
    <t>08 - Técnico</t>
  </si>
  <si>
    <t>Nome Completo do Familiar</t>
  </si>
  <si>
    <t>Data Base da Folha de Pagamento. Sugerimos o último dia de cada mês
para as Folhas Mensais.</t>
  </si>
  <si>
    <t>Código da Folha de Pagamento:</t>
  </si>
  <si>
    <t>11 – Mensal</t>
  </si>
  <si>
    <t>21 – Quinzenal – 1ª Quinzena</t>
  </si>
  <si>
    <t>22 – Quinzenal – 2ª Quinzena</t>
  </si>
  <si>
    <t>31 – Semanal – 1ª Semana</t>
  </si>
  <si>
    <t>32 – Semanal – Semanas Intermediárias</t>
  </si>
  <si>
    <t>33 – Semanal – Última Semana</t>
  </si>
  <si>
    <t>41 – Adiantamento Quinzenal</t>
  </si>
  <si>
    <t>51 – 13° Salário – Antecipação</t>
  </si>
  <si>
    <t>52 – 13° Salário - Complementação</t>
  </si>
  <si>
    <t>61 – Suplementar</t>
  </si>
  <si>
    <t>71 – Avulsa</t>
  </si>
  <si>
    <t>81 – Recibos de Férias</t>
  </si>
  <si>
    <t>91 – Rescisão de Contrato</t>
  </si>
  <si>
    <t>92 – Rescisão Complementar</t>
  </si>
  <si>
    <t>Código do VDB</t>
  </si>
  <si>
    <t>Data de Pagamento da Folha de Pagamento</t>
  </si>
  <si>
    <t>Tipo de Informação:</t>
  </si>
  <si>
    <t>0 – Só Valor</t>
  </si>
  <si>
    <t>1 – Horas e Valor</t>
  </si>
  <si>
    <t>2 – Dias e Valor</t>
  </si>
  <si>
    <t>3 – Quantidade de Tarefas e Valor</t>
  </si>
  <si>
    <t>Horas, Dias ou Quantidade, cfe. Tipo de Informação. Zeros quando o Tipo
de Informação for “0”.</t>
  </si>
  <si>
    <t>Valor</t>
  </si>
  <si>
    <t>Identificador atribuído pela fonte pagadora para o demonstrativo
de valores devidos ao trabalhador, gerado no eSocial.</t>
  </si>
  <si>
    <t>Número do recibo do arquivo que contém as informações da
rescisão contratual que originou o pagamento, gerado no eSocial.</t>
  </si>
  <si>
    <t>NOMECOL</t>
  </si>
  <si>
    <t>COLRM</t>
  </si>
  <si>
    <t>PFUNCAO</t>
  </si>
  <si>
    <t>TBRM</t>
  </si>
  <si>
    <t>CODIGO</t>
  </si>
  <si>
    <t>SQL</t>
  </si>
  <si>
    <t>TYPE</t>
  </si>
  <si>
    <t>VARCHAR</t>
  </si>
  <si>
    <t>DESCRICAO</t>
  </si>
  <si>
    <t>CBO2002</t>
  </si>
  <si>
    <t>NOME</t>
  </si>
  <si>
    <t>[Sexo]</t>
  </si>
  <si>
    <t>PFUFERIASPER</t>
  </si>
  <si>
    <t>PFUFERIAS</t>
  </si>
  <si>
    <t>INTEGER</t>
  </si>
  <si>
    <t>DATE</t>
  </si>
  <si>
    <t>DECIMAL(10,2)</t>
  </si>
  <si>
    <t>DATAINICIO</t>
  </si>
  <si>
    <t>DATAFIM</t>
  </si>
  <si>
    <t>NRODIASABONO</t>
  </si>
  <si>
    <t>NRODIASFERIAS</t>
  </si>
  <si>
    <t>INICIOPERAQUIS</t>
  </si>
  <si>
    <t>FIMPERAQUIS</t>
  </si>
  <si>
    <t>1404 - Aprendiz - Falta Disciplinar Grave</t>
  </si>
  <si>
    <t>1405 - Aprendiz - Ausência Injustific. à Escola</t>
  </si>
  <si>
    <t>1406 - Aprendiz - A Pedido do Aprendiz</t>
  </si>
  <si>
    <t>1407 - Aprendiz - Fechamento da Empresa</t>
  </si>
  <si>
    <t>9999 - Outros Motivos de Rescisão</t>
  </si>
  <si>
    <t>001-CLT - Empregador Pessoa Jurídica, categoria e-Social 101 - Empregado</t>
  </si>
  <si>
    <t>– Geral, inclusive o empregado público da administração direta ou indireta
contratado pela CLT</t>
  </si>
  <si>
    <t>002 -Aprendiz, categoria e-Social 103 - Empregado – Aprendiz</t>
  </si>
  <si>
    <t>-003 Trabalhador
Contrato de trabalho intermitenteIntermitente,categoriae-Social111-Empregado-</t>
  </si>
  <si>
    <t>004 -Estagiário, categoria e-Social 901 - Estagiário</t>
  </si>
  <si>
    <t>006-TrabalhadorTemporário-Lei6.019,categoriae-Social106-</t>
  </si>
  <si>
    <t>Trabalhador Temporário - contrato nos termos da Lei 6.019/74</t>
  </si>
  <si>
    <t>007-TrabalhadorTemporário-Lei9.601,categoriae-Social105-</t>
  </si>
  <si>
    <t>Empregado – contrato a termo firmado nos termos da Lei 9601/98</t>
  </si>
  <si>
    <t>008 - CLT - Prazo Determinado Fixo ou Obra Certa, categoria e-Social 101 -</t>
  </si>
  <si>
    <t>Empregado – Geral, inclusive o empregado público da administração direta
ou indireta contratado pela CLT</t>
  </si>
  <si>
    <t>009 - Trabalhador Rural - Empregador Pessoa Jurídica, categoria e-Social</t>
  </si>
  <si>
    <t>101 -Empregado – Geral, inclusive o empregado público da administração
direta ou indireta contratado pela CLT</t>
  </si>
  <si>
    <t>- Prazo Lei 11.718/2008, categoria e-Social 101 - 010 - Trabalhador Rural
Empregado – Geral, inclusive o empregado público da administração direta
ou indireta contratado pela CLT</t>
  </si>
  <si>
    <t>012- Contrato
categoria e-Social 107 -Empregado - Contrato de trabalho Verde e Amarelo
- sem acordo para antecipação mensal da multa rescisória do FGTSdeTrabalhoVerdeeAmarelosemMultaFGTSMensal,</t>
  </si>
  <si>
    <t>013- Contrato
categoria e-Social 108 -Empregado - Contrato de trabalho Verde e Amarelo
- com acordo para antecipação mensal da multa rescisória do FGTSdeTrabalhoVerdeeAmarelocomMultaFGTSMensal,</t>
  </si>
  <si>
    <t>-014 Trabalhador
Avulso PortuárioAvulsoPortuário, categoria e-Social 201 -Trabalhador</t>
  </si>
  <si>
    <t>-015 Trabalhador
Trabalhador Avulso Não PortuárioAvulsoNãoPortuário,categoriae-Social202-</t>
  </si>
  <si>
    <t>101 - Diretor sem FGTS - Sócio, categoria do e-Social 723 - Contribuinte
individual – empresários, sócios e membro de conselho de administração ou
fiscal</t>
  </si>
  <si>
    <t>102 - Diretor com FGTS - Sócio, categoria do e-Social 723 - Contribuinte</t>
  </si>
  <si>
    <t>individual – empresários, sócios e membro de conselho de administração ou</t>
  </si>
  <si>
    <t>fiscal</t>
  </si>
  <si>
    <t>103 - Diretor sem FGTS - Não Sócio, categoria e-social 722 - Contribuinte</t>
  </si>
  <si>
    <t>individual – Diretor não empregado, sem FGTS</t>
  </si>
  <si>
    <t>104 - Diretor com FGTS - Não Sócio, categoria e-Social 721 - Contribuinte</t>
  </si>
  <si>
    <t>individual – Diretor não empregado, com FGTS</t>
  </si>
  <si>
    <t>201-Autônomo,categoriae-Social701-Contribuinteindividual–</t>
  </si>
  <si>
    <t>Autô nomo em geral, exceto se enquadrado em uma das demais categorias
de contribuinte individual</t>
  </si>
  <si>
    <t>202-Freteiro-Carga,categoriae-Social712-Contribuinteindividual–</t>
  </si>
  <si>
    <t>Situação</t>
  </si>
  <si>
    <t>Tipo de Salário</t>
  </si>
  <si>
    <t>Vínculo Empregatício</t>
  </si>
  <si>
    <t>PFUNC</t>
  </si>
  <si>
    <t>CODSITUACAO</t>
  </si>
  <si>
    <t>DATAADMISSAO</t>
  </si>
  <si>
    <t>CODRECEBIMENTO</t>
  </si>
  <si>
    <t>MATRICULAESOCIAL</t>
  </si>
  <si>
    <t>Código Folha</t>
  </si>
  <si>
    <t>Mensal</t>
  </si>
  <si>
    <t>Quinzenal 1ª Quinzena</t>
  </si>
  <si>
    <t>Quinzenal 2ª Quinzena</t>
  </si>
  <si>
    <t>Semanal 1ª Semana</t>
  </si>
  <si>
    <t>Semanal Semanas Intermediárias</t>
  </si>
  <si>
    <t>Semanal Última Semana</t>
  </si>
  <si>
    <t>Adiantamento Quinzenal</t>
  </si>
  <si>
    <t>13º Salário - Antecipação</t>
  </si>
  <si>
    <t>13º Salário - Complementação</t>
  </si>
  <si>
    <t>Suplementar</t>
  </si>
  <si>
    <t>Avulsa</t>
  </si>
  <si>
    <t>Recibos de Férias</t>
  </si>
  <si>
    <t>Rescisão de Contrato</t>
  </si>
  <si>
    <t>Rescisão Complementar</t>
  </si>
  <si>
    <t>Tipo Informação</t>
  </si>
  <si>
    <t>Só Valor</t>
  </si>
  <si>
    <t>Horas e Valor</t>
  </si>
  <si>
    <t>Dias e Valor</t>
  </si>
  <si>
    <t>Quantidade de Tarefas e Valor</t>
  </si>
  <si>
    <t>Situações</t>
  </si>
  <si>
    <t>Ativo</t>
  </si>
  <si>
    <t>Afastado</t>
  </si>
  <si>
    <t>Rescindido no mês</t>
  </si>
  <si>
    <t>Rescindido em meses anteriores</t>
  </si>
  <si>
    <t>Tipos de Salário</t>
  </si>
  <si>
    <t xml:space="preserve">Mensal </t>
  </si>
  <si>
    <t>Por Quinzena</t>
  </si>
  <si>
    <t>Por Semana</t>
  </si>
  <si>
    <t>Por Dia</t>
  </si>
  <si>
    <t>Por Hora</t>
  </si>
  <si>
    <t>Por Tarefa</t>
  </si>
  <si>
    <t xml:space="preserve">Outros </t>
  </si>
  <si>
    <t>Nível Exp.Agente Nocivo</t>
  </si>
  <si>
    <t>00</t>
  </si>
  <si>
    <t>Nunca esteve exposto</t>
  </si>
  <si>
    <t>01</t>
  </si>
  <si>
    <t>Não exposto, mas já esteve</t>
  </si>
  <si>
    <t>02</t>
  </si>
  <si>
    <t>Exposto com aposentadoria aos 15 anos</t>
  </si>
  <si>
    <t>03</t>
  </si>
  <si>
    <t>Exposto com aposentadoria aos 20 anos</t>
  </si>
  <si>
    <t>04</t>
  </si>
  <si>
    <t>Exposto com aposentadoria aos 25 anos</t>
  </si>
  <si>
    <t>05</t>
  </si>
  <si>
    <t>Não exposto com mais de um vínculo</t>
  </si>
  <si>
    <t>06</t>
  </si>
  <si>
    <t>Exposto c/aposentadoria 15 anos e mais de um vínculo</t>
  </si>
  <si>
    <t>07</t>
  </si>
  <si>
    <t>Exposto c/aposentadoria 20 anos e mais de um vínculo</t>
  </si>
  <si>
    <t>08</t>
  </si>
  <si>
    <t>Exposto c/aposentadoria 25 anos e mais de um vínculo</t>
  </si>
  <si>
    <t>Vínculos Empregatícios</t>
  </si>
  <si>
    <t>001</t>
  </si>
  <si>
    <r>
      <rPr>
        <b/>
        <sz val="10.5"/>
        <color theme="1"/>
        <rFont val="Tahoma"/>
        <family val="2"/>
      </rPr>
      <t>CLT - Empregador Pessoa Jurídica</t>
    </r>
    <r>
      <rPr>
        <sz val="10.5"/>
        <color theme="1"/>
        <rFont val="Tahoma"/>
        <family val="2"/>
      </rPr>
      <t>, categoria e-Social 101 - Empregado – Geral, inclusive o empregado público da administração direta ou indireta contratado pela CLT</t>
    </r>
  </si>
  <si>
    <t>002</t>
  </si>
  <si>
    <r>
      <rPr>
        <b/>
        <sz val="10.5"/>
        <color theme="1"/>
        <rFont val="Tahoma"/>
        <family val="2"/>
      </rPr>
      <t>Aprendiz</t>
    </r>
    <r>
      <rPr>
        <sz val="10.5"/>
        <color theme="1"/>
        <rFont val="Tahoma"/>
        <family val="2"/>
      </rPr>
      <t>, categoria e-Social 103 - Empregado – Aprendiz</t>
    </r>
  </si>
  <si>
    <t>003</t>
  </si>
  <si>
    <r>
      <rPr>
        <b/>
        <sz val="10.5"/>
        <color theme="1"/>
        <rFont val="Tahoma"/>
        <family val="2"/>
      </rPr>
      <t>Trabalhador Intermitente</t>
    </r>
    <r>
      <rPr>
        <sz val="10.5"/>
        <color theme="1"/>
        <rFont val="Tahoma"/>
        <family val="2"/>
      </rPr>
      <t xml:space="preserve">, categoria e-Social 111 - Empregado - Contrato de trabalho intermitente </t>
    </r>
  </si>
  <si>
    <t>004</t>
  </si>
  <si>
    <r>
      <rPr>
        <b/>
        <sz val="10.5"/>
        <color theme="1"/>
        <rFont val="Tahoma"/>
        <family val="2"/>
      </rPr>
      <t>Estagiário</t>
    </r>
    <r>
      <rPr>
        <sz val="10.5"/>
        <color theme="1"/>
        <rFont val="Tahoma"/>
        <family val="2"/>
      </rPr>
      <t>, categoria e-Social 901 - Estagiário</t>
    </r>
  </si>
  <si>
    <r>
      <rPr>
        <b/>
        <sz val="10.5"/>
        <color theme="1"/>
        <rFont val="Tahoma"/>
        <family val="2"/>
      </rPr>
      <t>Trabalhador Temporário - Lei 6.019</t>
    </r>
    <r>
      <rPr>
        <sz val="10.5"/>
        <color theme="1"/>
        <rFont val="Tahoma"/>
        <family val="2"/>
      </rPr>
      <t>, categoria e-Social 106 - Trabalhador Temporário - contrato nos termos da Lei 6.019/74</t>
    </r>
  </si>
  <si>
    <t>007</t>
  </si>
  <si>
    <r>
      <rPr>
        <b/>
        <sz val="10.5"/>
        <color theme="1"/>
        <rFont val="Tahoma"/>
        <family val="2"/>
      </rPr>
      <t xml:space="preserve">Trabalhador Temporário </t>
    </r>
    <r>
      <rPr>
        <sz val="10.5"/>
        <color theme="1"/>
        <rFont val="Tahoma"/>
        <family val="2"/>
      </rPr>
      <t>- Lei 9.601, categoria e-Social 105 - Empregado – contrato a termo firmado nos termos da Lei 9601/98</t>
    </r>
  </si>
  <si>
    <r>
      <rPr>
        <b/>
        <sz val="10.5"/>
        <color theme="1"/>
        <rFont val="Tahoma"/>
        <family val="2"/>
      </rPr>
      <t>CLT - Prazo Determinado Fixo ou Obra Certa</t>
    </r>
    <r>
      <rPr>
        <sz val="10.5"/>
        <color theme="1"/>
        <rFont val="Tahoma"/>
        <family val="2"/>
      </rPr>
      <t>, categoria e-Social 101 -Empregado – Geral, inclusive o empregado público da administração direta ou indireta contratado pela CLT</t>
    </r>
  </si>
  <si>
    <t>009</t>
  </si>
  <si>
    <r>
      <rPr>
        <b/>
        <sz val="10.5"/>
        <color theme="1"/>
        <rFont val="Tahoma"/>
        <family val="2"/>
      </rPr>
      <t xml:space="preserve">Trabalhador Rural </t>
    </r>
    <r>
      <rPr>
        <sz val="10.5"/>
        <color theme="1"/>
        <rFont val="Tahoma"/>
        <family val="2"/>
      </rPr>
      <t>- Empregador Pessoa Jurídica, categoria e-Social 101 -Empregado – Geral, inclusive o empregado público da administração direta ou indireta contratado pela CLT</t>
    </r>
  </si>
  <si>
    <t>010</t>
  </si>
  <si>
    <r>
      <rPr>
        <b/>
        <sz val="10.5"/>
        <color theme="1"/>
        <rFont val="Tahoma"/>
        <family val="2"/>
      </rPr>
      <t>Trabalhador Rural  - Prazo Lei 11.718/2008</t>
    </r>
    <r>
      <rPr>
        <sz val="10.5"/>
        <color theme="1"/>
        <rFont val="Tahoma"/>
        <family val="2"/>
      </rPr>
      <t>, categoria e-Social 101 -Empregado – Geral, inclusive o empregado público da administração direta ou indireta contratado pela CLT</t>
    </r>
  </si>
  <si>
    <t>012</t>
  </si>
  <si>
    <r>
      <rPr>
        <b/>
        <sz val="10.5"/>
        <color theme="1"/>
        <rFont val="Tahoma"/>
        <family val="2"/>
      </rPr>
      <t>Contrato de Trabalho Verde e Amarelo sem Multa FGTS Mensal</t>
    </r>
    <r>
      <rPr>
        <sz val="10.5"/>
        <color theme="1"/>
        <rFont val="Tahoma"/>
        <family val="2"/>
      </rPr>
      <t>, categoria e-Social 107 -Empregado - Contrato de trabalho Verde e Amarelo - sem acordo para antecipação mensal da multa rescisória do FGTS</t>
    </r>
  </si>
  <si>
    <t>013</t>
  </si>
  <si>
    <r>
      <rPr>
        <b/>
        <sz val="10.5"/>
        <color theme="1"/>
        <rFont val="Tahoma"/>
        <family val="2"/>
      </rPr>
      <t>Contrato de Trabalho Verde e Amarelo com Multa FGTS Mensal</t>
    </r>
    <r>
      <rPr>
        <sz val="10.5"/>
        <color theme="1"/>
        <rFont val="Tahoma"/>
        <family val="2"/>
      </rPr>
      <t>, categoria e-Social 108 -Empregado - Contrato de trabalho Verde e Amarelo - com acordo para antecipação mensal da multa rescisória do FGTS</t>
    </r>
  </si>
  <si>
    <t>014</t>
  </si>
  <si>
    <r>
      <rPr>
        <b/>
        <sz val="10.5"/>
        <color theme="1"/>
        <rFont val="Tahoma"/>
        <family val="2"/>
      </rPr>
      <t>Trabalhador Avulso Portuário</t>
    </r>
    <r>
      <rPr>
        <sz val="10.5"/>
        <color theme="1"/>
        <rFont val="Tahoma"/>
        <family val="2"/>
      </rPr>
      <t>, categoria e-Social 201 - Trabalhador Avulso Portuário</t>
    </r>
  </si>
  <si>
    <t>015</t>
  </si>
  <si>
    <r>
      <rPr>
        <b/>
        <sz val="10.5"/>
        <color theme="1"/>
        <rFont val="Tahoma"/>
        <family val="2"/>
      </rPr>
      <t>Trabalhador Avulso Não Portuário</t>
    </r>
    <r>
      <rPr>
        <sz val="10.5"/>
        <color theme="1"/>
        <rFont val="Tahoma"/>
        <family val="2"/>
      </rPr>
      <t>, categoria e-Social 202 - Trabalhador Avulso Não Portuário</t>
    </r>
  </si>
  <si>
    <t>101</t>
  </si>
  <si>
    <r>
      <rPr>
        <b/>
        <sz val="10.5"/>
        <color theme="1"/>
        <rFont val="Tahoma"/>
        <family val="2"/>
      </rPr>
      <t>Diretor sem FGTS - Sócio</t>
    </r>
    <r>
      <rPr>
        <sz val="10.5"/>
        <color theme="1"/>
        <rFont val="Tahoma"/>
        <family val="2"/>
      </rPr>
      <t>, categoria do e-Social 723 - Contribuinte individual – empresários, sócios e membro de conselho de administração ou fiscal</t>
    </r>
  </si>
  <si>
    <t>102</t>
  </si>
  <si>
    <r>
      <rPr>
        <b/>
        <sz val="10.5"/>
        <color theme="1"/>
        <rFont val="Tahoma"/>
        <family val="2"/>
      </rPr>
      <t>Diretor com FGTS - Sócio</t>
    </r>
    <r>
      <rPr>
        <sz val="10.5"/>
        <color theme="1"/>
        <rFont val="Tahoma"/>
        <family val="2"/>
      </rPr>
      <t>, categoria do e-Social 723 - Contribuinte individual – empresários, sócios e membro de conselho de administração ou fiscal</t>
    </r>
  </si>
  <si>
    <t>103</t>
  </si>
  <si>
    <r>
      <rPr>
        <b/>
        <sz val="10.5"/>
        <color theme="1"/>
        <rFont val="Tahoma"/>
        <family val="2"/>
      </rPr>
      <t>Diretor sem FGTS - Não Sócio</t>
    </r>
    <r>
      <rPr>
        <sz val="10.5"/>
        <color theme="1"/>
        <rFont val="Tahoma"/>
        <family val="2"/>
      </rPr>
      <t>, categoria e-social 722 - Contribuinte individual – Diretor não empregado, sem FGTS</t>
    </r>
  </si>
  <si>
    <t>104</t>
  </si>
  <si>
    <r>
      <rPr>
        <b/>
        <sz val="10.5"/>
        <color theme="1"/>
        <rFont val="Tahoma"/>
        <family val="2"/>
      </rPr>
      <t>Diretor com FGTS</t>
    </r>
    <r>
      <rPr>
        <sz val="10.5"/>
        <color theme="1"/>
        <rFont val="Tahoma"/>
        <family val="2"/>
      </rPr>
      <t xml:space="preserve"> - Não Sócio, categoria e-Social 721 - Contribuinte individual – Diretor não empregado, com FGTS</t>
    </r>
  </si>
  <si>
    <t>201</t>
  </si>
  <si>
    <r>
      <rPr>
        <b/>
        <sz val="10.5"/>
        <color theme="1"/>
        <rFont val="Tahoma"/>
        <family val="2"/>
      </rPr>
      <t>Autônomo</t>
    </r>
    <r>
      <rPr>
        <sz val="10.5"/>
        <color theme="1"/>
        <rFont val="Tahoma"/>
        <family val="2"/>
      </rPr>
      <t>, categoria e-Social 701 - Contribuinte individual – Autônomo em geral, exceto se enquadrado em uma das demais categorias de contribuinte individual</t>
    </r>
  </si>
  <si>
    <t>202</t>
  </si>
  <si>
    <r>
      <rPr>
        <b/>
        <sz val="10.5"/>
        <color theme="1"/>
        <rFont val="Tahoma"/>
        <family val="2"/>
      </rPr>
      <t>Freteiro - Carga</t>
    </r>
    <r>
      <rPr>
        <sz val="10.5"/>
        <color theme="1"/>
        <rFont val="Tahoma"/>
        <family val="2"/>
      </rPr>
      <t>, categoria e-Social 712 - Contribuinte individual – Transportador autônomo de carga</t>
    </r>
  </si>
  <si>
    <t>203</t>
  </si>
  <si>
    <r>
      <rPr>
        <b/>
        <sz val="10.5"/>
        <color theme="1"/>
        <rFont val="Tahoma"/>
        <family val="2"/>
      </rPr>
      <t>Freteiro - Passageiros</t>
    </r>
    <r>
      <rPr>
        <sz val="10.5"/>
        <color theme="1"/>
        <rFont val="Tahoma"/>
        <family val="2"/>
      </rPr>
      <t>, categoria e-Social 711 - Contribuinte individual – Transportador autônomo de passageiros</t>
    </r>
  </si>
  <si>
    <t>204</t>
  </si>
  <si>
    <r>
      <rPr>
        <b/>
        <sz val="10.5"/>
        <color theme="1"/>
        <rFont val="Tahoma"/>
        <family val="2"/>
      </rPr>
      <t>Cooperado - Presta Serviços à Entidade.Beneficente</t>
    </r>
    <r>
      <rPr>
        <sz val="10.5"/>
        <color theme="1"/>
        <rFont val="Tahoma"/>
        <family val="2"/>
      </rPr>
      <t>, categoria e-Social 731 - Contribuinte individual – Cooperado que presta serviços por intermédio de Cooperativa de Trabalho</t>
    </r>
  </si>
  <si>
    <t>205</t>
  </si>
  <si>
    <r>
      <rPr>
        <b/>
        <sz val="10.5"/>
        <color theme="1"/>
        <rFont val="Tahoma"/>
        <family val="2"/>
      </rPr>
      <t>Freteiro Cooperado - Presta Serviço Entidade Beneficente</t>
    </r>
    <r>
      <rPr>
        <sz val="10.5"/>
        <color theme="1"/>
        <rFont val="Tahoma"/>
        <family val="2"/>
      </rPr>
      <t>, categoria e-Social 734 - Contribuinte individual – Transportador Cooperado que presta serviços por intermédio de cooperativa de trabalho</t>
    </r>
  </si>
  <si>
    <t>206</t>
  </si>
  <si>
    <r>
      <rPr>
        <b/>
        <sz val="10.5"/>
        <color theme="1"/>
        <rFont val="Tahoma"/>
        <family val="2"/>
      </rPr>
      <t>Médico Residente</t>
    </r>
    <r>
      <rPr>
        <sz val="10.5"/>
        <color theme="1"/>
        <rFont val="Tahoma"/>
        <family val="2"/>
      </rPr>
      <t xml:space="preserve">, categoria e-Social 902 - Médico Residente </t>
    </r>
  </si>
  <si>
    <t>207</t>
  </si>
  <si>
    <r>
      <rPr>
        <b/>
        <sz val="10.5"/>
        <color theme="1"/>
        <rFont val="Tahoma"/>
        <family val="2"/>
      </rPr>
      <t>MEI - Microempreendedor Individual</t>
    </r>
    <r>
      <rPr>
        <sz val="10.5"/>
        <color theme="1"/>
        <rFont val="Tahoma"/>
        <family val="2"/>
      </rPr>
      <t>, categoria e-Social 741 - Contribuinte individual - Microempreendedor Individual</t>
    </r>
  </si>
  <si>
    <t>301</t>
  </si>
  <si>
    <r>
      <rPr>
        <b/>
        <sz val="10.5"/>
        <color theme="1"/>
        <rFont val="Tahoma"/>
        <family val="2"/>
      </rPr>
      <t>Empregado(a) Doméstico(a)</t>
    </r>
    <r>
      <rPr>
        <sz val="10.5"/>
        <color theme="1"/>
        <rFont val="Tahoma"/>
        <family val="2"/>
      </rPr>
      <t xml:space="preserve">, categoria e-Social 104 - Empregado- Doméstico </t>
    </r>
  </si>
  <si>
    <t>302</t>
  </si>
  <si>
    <r>
      <rPr>
        <b/>
        <sz val="10.5"/>
        <color theme="1"/>
        <rFont val="Tahoma"/>
        <family val="2"/>
      </rPr>
      <t>CLT - Empregador Pessoa Física</t>
    </r>
    <r>
      <rPr>
        <sz val="10.5"/>
        <color theme="1"/>
        <rFont val="Tahoma"/>
        <family val="2"/>
      </rPr>
      <t>, categoria e-Social 101 -Empregado – Geral, inclusive o empregado público da administração direta ou indireta contratado pela CLT</t>
    </r>
  </si>
  <si>
    <t>303</t>
  </si>
  <si>
    <r>
      <rPr>
        <b/>
        <sz val="10.5"/>
        <color theme="1"/>
        <rFont val="Tahoma"/>
        <family val="2"/>
      </rPr>
      <t>Autônomo - Empregador Pessoa Física</t>
    </r>
    <r>
      <rPr>
        <sz val="10.5"/>
        <color theme="1"/>
        <rFont val="Tahoma"/>
        <family val="2"/>
      </rPr>
      <t>, categoria e-Social 701 - Contribuinte individual – Autônomo em geral, exceto se enquadrado em uma das demais categorias de contribuinte individual</t>
    </r>
  </si>
  <si>
    <t>304</t>
  </si>
  <si>
    <r>
      <rPr>
        <b/>
        <sz val="10.5"/>
        <color theme="1"/>
        <rFont val="Tahoma"/>
        <family val="2"/>
      </rPr>
      <t>Freteiro - Empregador Pessoa Física - Passageiros</t>
    </r>
    <r>
      <rPr>
        <sz val="10.5"/>
        <color theme="1"/>
        <rFont val="Tahoma"/>
        <family val="2"/>
      </rPr>
      <t>, categoria e-Social 711 - Contribuinte individual – Transportador autônomo de passageiros</t>
    </r>
  </si>
  <si>
    <t>305</t>
  </si>
  <si>
    <r>
      <rPr>
        <b/>
        <sz val="10.5"/>
        <color theme="1"/>
        <rFont val="Tahoma"/>
        <family val="2"/>
      </rPr>
      <t>Freteiro - Empregador Pessoa Física - Cargas</t>
    </r>
    <r>
      <rPr>
        <sz val="10.5"/>
        <color theme="1"/>
        <rFont val="Tahoma"/>
        <family val="2"/>
      </rPr>
      <t>, categoria e-Social 712 - Contribuinte individual – Transportador autônomo de carga</t>
    </r>
  </si>
  <si>
    <t>306</t>
  </si>
  <si>
    <r>
      <rPr>
        <b/>
        <sz val="10.5"/>
        <color theme="1"/>
        <rFont val="Tahoma"/>
        <family val="2"/>
      </rPr>
      <t>Trabalhador Rural - Empregador Pessoa Física</t>
    </r>
    <r>
      <rPr>
        <sz val="10.5"/>
        <color theme="1"/>
        <rFont val="Tahoma"/>
        <family val="2"/>
      </rPr>
      <t>, categoria e-Social 101 -Empregado – Geral, inclusive o empregado público da administração direta ou indireta contratado pela CLT</t>
    </r>
  </si>
  <si>
    <t>Sexo</t>
  </si>
  <si>
    <t>M</t>
  </si>
  <si>
    <t>Masculino</t>
  </si>
  <si>
    <t>Feminino</t>
  </si>
  <si>
    <t>Grau Parentesco</t>
  </si>
  <si>
    <t>Nenhum Parentesco</t>
  </si>
  <si>
    <t>Filho(a) ou Enteado(a)</t>
  </si>
  <si>
    <t>Neto(a)</t>
  </si>
  <si>
    <t>Bisneto(a)</t>
  </si>
  <si>
    <t>Esposo(a)</t>
  </si>
  <si>
    <t>Pai ou Mãe</t>
  </si>
  <si>
    <t>Avô ou Avó</t>
  </si>
  <si>
    <t>Bisavô ou Bisavó</t>
  </si>
  <si>
    <t>Outro Parentesco</t>
  </si>
  <si>
    <t>A</t>
  </si>
  <si>
    <t>Irmão(ã)</t>
  </si>
  <si>
    <t>B</t>
  </si>
  <si>
    <t>Sobrinho(a)</t>
  </si>
  <si>
    <t>Sogro(a)</t>
  </si>
  <si>
    <t>Nora/Genro</t>
  </si>
  <si>
    <t>Grau Dependência</t>
  </si>
  <si>
    <t>Nenhuma Dependência</t>
  </si>
  <si>
    <t>Menor de 21 anos</t>
  </si>
  <si>
    <t>Menor de 25 anos Estudante</t>
  </si>
  <si>
    <t xml:space="preserve">Inválido </t>
  </si>
  <si>
    <t>Cônjuge sem Renda</t>
  </si>
  <si>
    <t>Idoso sem Renda</t>
  </si>
  <si>
    <t>Filha Solteira Maior de 21 anos</t>
  </si>
  <si>
    <t>Sim/Não</t>
  </si>
  <si>
    <t>S</t>
  </si>
  <si>
    <t>Estado Civil</t>
  </si>
  <si>
    <t xml:space="preserve">Solteiro </t>
  </si>
  <si>
    <t>Casado</t>
  </si>
  <si>
    <t>Viúvo</t>
  </si>
  <si>
    <t>Separado</t>
  </si>
  <si>
    <t>Divorciado</t>
  </si>
  <si>
    <t xml:space="preserve">Analfabeto </t>
  </si>
  <si>
    <t>Até o 5º Ano Incompleto do Ensino Fundamental</t>
  </si>
  <si>
    <t>5º Ano Completo do Ensino Fundamental</t>
  </si>
  <si>
    <t>Do 6º ao 9º Ano do Ensino Fundamental Incompleto</t>
  </si>
  <si>
    <t>Ensino Fundamental Completo</t>
  </si>
  <si>
    <t>Ensino Médio Incompleto</t>
  </si>
  <si>
    <t>Ensino Médio Completo</t>
  </si>
  <si>
    <t>Educação Superior Incompleta</t>
  </si>
  <si>
    <t>Educação Superior Completa</t>
  </si>
  <si>
    <t>Pós-Graduado</t>
  </si>
  <si>
    <t>Mestrado Completo</t>
  </si>
  <si>
    <t>Doutorado Completo</t>
  </si>
  <si>
    <t>Raça/Cor</t>
  </si>
  <si>
    <t>Indígena</t>
  </si>
  <si>
    <t>Branca</t>
  </si>
  <si>
    <t>Preta</t>
  </si>
  <si>
    <t>Amarela</t>
  </si>
  <si>
    <t>Parda</t>
  </si>
  <si>
    <t>Não Informada</t>
  </si>
  <si>
    <t>Deficiente Físico</t>
  </si>
  <si>
    <t>Não Deficiente</t>
  </si>
  <si>
    <t xml:space="preserve">Deficiente Físico </t>
  </si>
  <si>
    <t>Deficiente Auditivo</t>
  </si>
  <si>
    <t>Deficiente Visual</t>
  </si>
  <si>
    <t>Deficiente Mental (Intelectual)</t>
  </si>
  <si>
    <t>Deficiente Múltiplo</t>
  </si>
  <si>
    <t>Aposentado</t>
  </si>
  <si>
    <t>Não Aposentado</t>
  </si>
  <si>
    <t xml:space="preserve">Aposentado </t>
  </si>
  <si>
    <t>AC</t>
  </si>
  <si>
    <t>Acre</t>
  </si>
  <si>
    <t>AL</t>
  </si>
  <si>
    <t>Alagoas</t>
  </si>
  <si>
    <t>AM</t>
  </si>
  <si>
    <t>Amazonas</t>
  </si>
  <si>
    <t>AP</t>
  </si>
  <si>
    <t>Amapá</t>
  </si>
  <si>
    <t>BA</t>
  </si>
  <si>
    <t>Bahia</t>
  </si>
  <si>
    <t>CE</t>
  </si>
  <si>
    <t>Ceará</t>
  </si>
  <si>
    <t>DF</t>
  </si>
  <si>
    <t>Distrito Federal</t>
  </si>
  <si>
    <t>ES</t>
  </si>
  <si>
    <t>Espirito Santo</t>
  </si>
  <si>
    <t>GO</t>
  </si>
  <si>
    <t>Goias</t>
  </si>
  <si>
    <t>MA</t>
  </si>
  <si>
    <t>Maranhão</t>
  </si>
  <si>
    <t>MG</t>
  </si>
  <si>
    <t>Minas Gerais</t>
  </si>
  <si>
    <t>MS</t>
  </si>
  <si>
    <t>Mato Grosso do Sul</t>
  </si>
  <si>
    <t>MT</t>
  </si>
  <si>
    <t>Mato Grosso</t>
  </si>
  <si>
    <t>PA</t>
  </si>
  <si>
    <t>Pará</t>
  </si>
  <si>
    <t>PB</t>
  </si>
  <si>
    <t>Paraíba</t>
  </si>
  <si>
    <t>PE</t>
  </si>
  <si>
    <t>Pernambuco</t>
  </si>
  <si>
    <t>PI</t>
  </si>
  <si>
    <t>Piauí</t>
  </si>
  <si>
    <t>PR</t>
  </si>
  <si>
    <t>Paraná</t>
  </si>
  <si>
    <t>RJ</t>
  </si>
  <si>
    <t>Rio de Janeiro</t>
  </si>
  <si>
    <t>RN</t>
  </si>
  <si>
    <t>Rio Grande do Norte</t>
  </si>
  <si>
    <t>RO</t>
  </si>
  <si>
    <t>Rondônia</t>
  </si>
  <si>
    <t>RR</t>
  </si>
  <si>
    <t>Roraima</t>
  </si>
  <si>
    <t>RS</t>
  </si>
  <si>
    <t>Rio Grande do Sul</t>
  </si>
  <si>
    <t>SC</t>
  </si>
  <si>
    <t>Santa Catarina</t>
  </si>
  <si>
    <t>SE</t>
  </si>
  <si>
    <t>Sergipe</t>
  </si>
  <si>
    <t>SP</t>
  </si>
  <si>
    <t>São Paulo</t>
  </si>
  <si>
    <t>TO</t>
  </si>
  <si>
    <t>Tocantins</t>
  </si>
  <si>
    <t>Motivos Alt.Salário</t>
  </si>
  <si>
    <t>Antecipação de Dissídio</t>
  </si>
  <si>
    <t>Acordo / Convenção / Dissídio Coletivo</t>
  </si>
  <si>
    <t>Aumento Espontâneo</t>
  </si>
  <si>
    <t>Promoção</t>
  </si>
  <si>
    <t>Enquadramento</t>
  </si>
  <si>
    <t>Admissão</t>
  </si>
  <si>
    <t>Comissão de Conciliação Prévia - CCP</t>
  </si>
  <si>
    <t>Reenquadramento Cargos e Salários</t>
  </si>
  <si>
    <t>Reajuste de Salário</t>
  </si>
  <si>
    <t>Redução Carga Horária MP 936/2020</t>
  </si>
  <si>
    <t>Outros</t>
  </si>
  <si>
    <t>Implantação/Conversão Sistema</t>
  </si>
  <si>
    <t>Nacionalidades</t>
  </si>
  <si>
    <t>Brasileiro</t>
  </si>
  <si>
    <t>Naturalizado Bras.</t>
  </si>
  <si>
    <t>Argentino</t>
  </si>
  <si>
    <t>Boliviano</t>
  </si>
  <si>
    <t>Chileno</t>
  </si>
  <si>
    <t>Paraguaio</t>
  </si>
  <si>
    <t>Uruguaio</t>
  </si>
  <si>
    <t>Venezuelano</t>
  </si>
  <si>
    <t>Colombiano</t>
  </si>
  <si>
    <t>Peruano</t>
  </si>
  <si>
    <t>Equatoriano</t>
  </si>
  <si>
    <t>Alemão</t>
  </si>
  <si>
    <t>Belga</t>
  </si>
  <si>
    <t>Britânico</t>
  </si>
  <si>
    <t>Canadense</t>
  </si>
  <si>
    <t>Espanhol</t>
  </si>
  <si>
    <t>Norte-Americano (EUA)</t>
  </si>
  <si>
    <t>Francês</t>
  </si>
  <si>
    <t>Suíço</t>
  </si>
  <si>
    <t>Italiano</t>
  </si>
  <si>
    <t>Haitiano</t>
  </si>
  <si>
    <t>Japonês</t>
  </si>
  <si>
    <t>Chinês</t>
  </si>
  <si>
    <t>Coreano</t>
  </si>
  <si>
    <t>Russo</t>
  </si>
  <si>
    <t>Português</t>
  </si>
  <si>
    <t>Paquistanês</t>
  </si>
  <si>
    <t>Indiano</t>
  </si>
  <si>
    <t>Outros Latino-Americ</t>
  </si>
  <si>
    <t>Outros Asiáticos</t>
  </si>
  <si>
    <t>Outros Europeus</t>
  </si>
  <si>
    <t>Angolano</t>
  </si>
  <si>
    <t>Congolês</t>
  </si>
  <si>
    <t>Sul Africano</t>
  </si>
  <si>
    <t>Outros Africanos</t>
  </si>
  <si>
    <t xml:space="preserve">Tipo De Contrato </t>
  </si>
  <si>
    <t>Determinado</t>
  </si>
  <si>
    <t>Efetivo</t>
  </si>
  <si>
    <t>Motivo De Rescisão</t>
  </si>
  <si>
    <t>Demissão com Justa Causa</t>
  </si>
  <si>
    <t>Demissão sem Justa Causa</t>
  </si>
  <si>
    <t>Pedido de Demissão sem Justa Causa</t>
  </si>
  <si>
    <t>005</t>
  </si>
  <si>
    <t>Rescisão por Término do Contrato por Prazo Determinado</t>
  </si>
  <si>
    <t>Resc. Ant. do Contr. por Prazo Determinado p/Empregado</t>
  </si>
  <si>
    <t>Resc. Ant. do Contr. por Prazo Determinado p/Empresa</t>
  </si>
  <si>
    <t>Rescisão p/Término de Contr. Temporário</t>
  </si>
  <si>
    <t>Rescisão por Dispensa Indireta</t>
  </si>
  <si>
    <t>Rescisão por Culpa Recíproca</t>
  </si>
  <si>
    <t>011</t>
  </si>
  <si>
    <t>Transferência de Estab. c/Ônus p/Cedente</t>
  </si>
  <si>
    <t>Transferência de Estab. s/Ônus p/Cedente</t>
  </si>
  <si>
    <t>Mudança de Regime Trabalhista</t>
  </si>
  <si>
    <t>Reforma de Militar</t>
  </si>
  <si>
    <t>Demissão sem Justa Causa Empr. Doméstico</t>
  </si>
  <si>
    <t>016</t>
  </si>
  <si>
    <t>Rescisão por Acordo entre as Partes</t>
  </si>
  <si>
    <t>017</t>
  </si>
  <si>
    <t>Desligamento p/Transf. Outro Sistema</t>
  </si>
  <si>
    <t>020</t>
  </si>
  <si>
    <t>Falecimento</t>
  </si>
  <si>
    <t>021</t>
  </si>
  <si>
    <t>Falecimento Decorr. de Acidente do Trab.</t>
  </si>
  <si>
    <t>022</t>
  </si>
  <si>
    <t>Falecimento Decorr. de Doença Profiss.</t>
  </si>
  <si>
    <t>023</t>
  </si>
  <si>
    <t>Falecimento Decorr. de Acid. no Trajeto</t>
  </si>
  <si>
    <t>030</t>
  </si>
  <si>
    <t>Aposentadoria por Tempo de Serviço</t>
  </si>
  <si>
    <t>031</t>
  </si>
  <si>
    <t>Aposentadoria por Idade</t>
  </si>
  <si>
    <t>032</t>
  </si>
  <si>
    <t>Aposentadoria por Invalidez</t>
  </si>
  <si>
    <t>033</t>
  </si>
  <si>
    <t>Aposentadoria p/Invalidez Dec.Acid.Trab.</t>
  </si>
  <si>
    <t>034</t>
  </si>
  <si>
    <t>Aposentadoria p/Invalidez Dec.Doença Pr.</t>
  </si>
  <si>
    <t>035</t>
  </si>
  <si>
    <t>Aposentadoria Compulsória</t>
  </si>
  <si>
    <t>036</t>
  </si>
  <si>
    <t>Aposentadoria Especial</t>
  </si>
  <si>
    <t>037</t>
  </si>
  <si>
    <t>Termino de Contrato - Estagiário</t>
  </si>
  <si>
    <t>Posse em outro Cargo Inacumulável</t>
  </si>
  <si>
    <t>041</t>
  </si>
  <si>
    <t>Rescisão determinada pela Justiça</t>
  </si>
  <si>
    <t>043</t>
  </si>
  <si>
    <t>Rescisão por Nulidade do Contrato Trab.</t>
  </si>
  <si>
    <t>044</t>
  </si>
  <si>
    <t>Exoneração Diretor Não Empreg. s/J Causa</t>
  </si>
  <si>
    <t>045</t>
  </si>
  <si>
    <t>Término de Mandato do Diretor Não Empreg</t>
  </si>
  <si>
    <t>046</t>
  </si>
  <si>
    <t>Exoneração a pedido de Diretor Não Empr.</t>
  </si>
  <si>
    <t>047</t>
  </si>
  <si>
    <t>Exoneração Diretor Não Empreg. Culpa Rec</t>
  </si>
  <si>
    <t>048</t>
  </si>
  <si>
    <t>Morte do Diretor Não Empregado</t>
  </si>
  <si>
    <t>049</t>
  </si>
  <si>
    <t>Exoneração Diretor Não Empregado p/Falên</t>
  </si>
  <si>
    <t>1401</t>
  </si>
  <si>
    <t>Aprendiz - Término de Contrato</t>
  </si>
  <si>
    <t>1402</t>
  </si>
  <si>
    <t>Aprendiz - Implemento da Idade</t>
  </si>
  <si>
    <t>1403</t>
  </si>
  <si>
    <t>Aprendiz - Desemp. Insuf. ou Inadaptação</t>
  </si>
  <si>
    <t>1404</t>
  </si>
  <si>
    <t>Aprendiz - Falta Disciplinar Grave</t>
  </si>
  <si>
    <t>1405</t>
  </si>
  <si>
    <t>Aprendiz - Ausência Injustific. à Escola</t>
  </si>
  <si>
    <t>1406</t>
  </si>
  <si>
    <t>Aprendiz - A Pedido do Aprendiz</t>
  </si>
  <si>
    <t>1407</t>
  </si>
  <si>
    <t>Aprendiz - Fechamento da Empresa</t>
  </si>
  <si>
    <t>9999</t>
  </si>
  <si>
    <t>Outros Motivos de Rescisão</t>
  </si>
  <si>
    <t>Ocorrência</t>
  </si>
  <si>
    <t xml:space="preserve">Licença Maternidade </t>
  </si>
  <si>
    <t>Intervalo de datas</t>
  </si>
  <si>
    <t>Maternidade Empresa Cidadã</t>
  </si>
  <si>
    <t xml:space="preserve">Licença Paternidade </t>
  </si>
  <si>
    <t>Acidente de Trabalho - Típico</t>
  </si>
  <si>
    <t>Horas</t>
  </si>
  <si>
    <t xml:space="preserve">Acidente de Trabalho - Trajeto </t>
  </si>
  <si>
    <t>Reencaminhamento Acidente/Doença do trabalho</t>
  </si>
  <si>
    <t>Doença não Relacionada ao Trabalho</t>
  </si>
  <si>
    <t>Reencaminhamento Doença não Relacionada ao trabalho</t>
  </si>
  <si>
    <t xml:space="preserve">Auxílio Reclusão </t>
  </si>
  <si>
    <t xml:space="preserve">Serviço Militar </t>
  </si>
  <si>
    <t>998</t>
  </si>
  <si>
    <t>Afastamento por invalidez</t>
  </si>
  <si>
    <t>Licença Remunerada</t>
  </si>
  <si>
    <t>Licença Não Remunerada</t>
  </si>
  <si>
    <t xml:space="preserve">Faltas Legais </t>
  </si>
  <si>
    <t>Faltas Justificadas</t>
  </si>
  <si>
    <t>042</t>
  </si>
  <si>
    <t>Faltas Não Justificadas</t>
  </si>
  <si>
    <t xml:space="preserve">Meias Faltas ou Atrasos </t>
  </si>
  <si>
    <t>061</t>
  </si>
  <si>
    <t xml:space="preserve">Cedido para o  Sindicato </t>
  </si>
  <si>
    <t>062</t>
  </si>
  <si>
    <t>071</t>
  </si>
  <si>
    <t>Suspensão do Contrato MP 936/1045</t>
  </si>
  <si>
    <t xml:space="preserve">Alterações Cadastrais </t>
  </si>
  <si>
    <t>Preencha estes dados em caso de empregados que tiveram transferências entre empresas</t>
  </si>
  <si>
    <t>CCON</t>
  </si>
  <si>
    <t xml:space="preserve">Código do Contrato </t>
  </si>
  <si>
    <t>TADM</t>
  </si>
  <si>
    <t xml:space="preserve">Tipo de Admissão </t>
  </si>
  <si>
    <t>CODCATEGORIAESOCIAL</t>
  </si>
  <si>
    <t>Nível de Exposição a Agente Nocivo</t>
  </si>
  <si>
    <t>CODAGENCIAPAGTO</t>
  </si>
  <si>
    <t>CODBANCOPAGTO</t>
  </si>
  <si>
    <t>CONTAPAGAMENTO</t>
  </si>
  <si>
    <t>DATADEMISSA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</si>
</sst>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.5"/>
      <color theme="1"/>
      <name val="Tahoma"/>
      <family val="2"/>
    </font>
    <font>
      <sz val="10.5"/>
      <color theme="1"/>
      <name val="Tahoma"/>
      <family val="2"/>
    </font>
    <font>
      <sz val="10.5"/>
      <color rgb="FF000000"/>
      <name val="Tahoma"/>
      <family val="2"/>
    </font>
    <font>
      <b/>
      <sz val="11"/>
      <color theme="1"/>
      <name val="Tahoma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i/>
      <sz val="9"/>
      <color theme="1"/>
      <name val="Tahoma"/>
      <family val="2"/>
    </font>
    <font>
      <sz val="9"/>
      <color rgb="FF000000"/>
      <name val="Tahoma"/>
      <family val="2"/>
    </font>
    <font>
      <sz val="11"/>
      <color theme="1"/>
      <name val="Tahoma"/>
      <family val="2"/>
    </font>
    <font>
      <i/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NumberFormat="1"/>
    <xf numFmtId="0" fontId="0" fillId="0" borderId="0" xfId="0" quotePrefix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164" fontId="5" fillId="0" borderId="0" xfId="1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11" fillId="0" borderId="0" xfId="0" applyFont="1"/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left"/>
    </xf>
    <xf numFmtId="49" fontId="5" fillId="0" borderId="0" xfId="1" applyNumberFormat="1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wrapText="1"/>
    </xf>
  </cellXfs>
  <cellStyles count="2">
    <cellStyle name="Normal" xfId="0" builtinId="0"/>
    <cellStyle name="Vírgula" xfId="1" builtinId="3"/>
  </cellStyles>
  <dxfs count="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1" connectionId="1" xr16:uid="{BFF2DD86-A807-4C95-ACDA-9CAD3750E604}" autoFormatId="16" applyNumberFormats="0" applyBorderFormats="0" applyFontFormats="0" applyPatternFormats="0" applyAlignmentFormats="0" applyWidthHeightFormats="0">
  <queryTableRefresh nextId="6">
    <queryTableFields count="5">
      <queryTableField id="1" name="TM" tableColumnId="1"/>
      <queryTableField id="2" name="F" tableColumnId="2"/>
      <queryTableField id="3" name="D" tableColumnId="3"/>
      <queryTableField id="4" name="OBR." tableColumnId="4"/>
      <queryTableField id="5" name="DESCRIÇÃO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0" connectionId="7" xr16:uid="{2A50C864-1214-4C81-93B2-746391535F94}" autoFormatId="16" applyNumberFormats="0" applyBorderFormats="0" applyFontFormats="0" applyPatternFormats="0" applyAlignmentFormats="0" applyWidthHeightFormats="0">
  <queryTableRefresh nextId="6">
    <queryTableFields count="5">
      <queryTableField id="1" name="TM" tableColumnId="1"/>
      <queryTableField id="2" name="F" tableColumnId="2"/>
      <queryTableField id="3" name="D" tableColumnId="3"/>
      <queryTableField id="4" name="OBR." tableColumnId="4"/>
      <queryTableField id="5" name="DESCRIÇÃO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9" connectionId="4" xr16:uid="{CDEB6333-E921-4615-B50F-4EB00B532847}" autoFormatId="16" applyNumberFormats="0" applyBorderFormats="0" applyFontFormats="0" applyPatternFormats="0" applyAlignmentFormats="0" applyWidthHeightFormats="0">
  <queryTableRefresh nextId="6">
    <queryTableFields count="5">
      <queryTableField id="1" name="TM" tableColumnId="1"/>
      <queryTableField id="2" name="F" tableColumnId="2"/>
      <queryTableField id="3" name="D" tableColumnId="3"/>
      <queryTableField id="4" name="OBR." tableColumnId="4"/>
      <queryTableField id="5" name="DESCRIÇÃO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8" connectionId="10" xr16:uid="{CE7FF61E-E08A-4E92-9BC5-B58341DCC359}" autoFormatId="16" applyNumberFormats="0" applyBorderFormats="0" applyFontFormats="0" applyPatternFormats="0" applyAlignmentFormats="0" applyWidthHeightFormats="0">
  <queryTableRefresh nextId="6">
    <queryTableFields count="5">
      <queryTableField id="1" name="TM" tableColumnId="1"/>
      <queryTableField id="2" name="F" tableColumnId="2"/>
      <queryTableField id="3" name="D" tableColumnId="3"/>
      <queryTableField id="4" name="OBR." tableColumnId="4"/>
      <queryTableField id="5" name="DESCRIÇÃO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11" xr16:uid="{92DA8B15-8C4B-4536-86D3-AC73454EF504}" autoFormatId="16" applyNumberFormats="0" applyBorderFormats="0" applyFontFormats="0" applyPatternFormats="0" applyAlignmentFormats="0" applyWidthHeightFormats="0">
  <queryTableRefresh nextId="6">
    <queryTableFields count="5">
      <queryTableField id="1" name="TM" tableColumnId="1"/>
      <queryTableField id="2" name="F" tableColumnId="2"/>
      <queryTableField id="3" name="D" tableColumnId="3"/>
      <queryTableField id="4" name="OBR." tableColumnId="4"/>
      <queryTableField id="5" name="DESCRIÇÃO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9" xr16:uid="{02C2FC47-CE9C-4A3D-97B7-55A7282A0FFA}" autoFormatId="16" applyNumberFormats="0" applyBorderFormats="0" applyFontFormats="0" applyPatternFormats="0" applyAlignmentFormats="0" applyWidthHeightFormats="0">
  <queryTableRefresh nextId="6">
    <queryTableFields count="5">
      <queryTableField id="1" name="TM" tableColumnId="1"/>
      <queryTableField id="2" name="F" tableColumnId="2"/>
      <queryTableField id="3" name="D" tableColumnId="3"/>
      <queryTableField id="4" name="OBR." tableColumnId="4"/>
      <queryTableField id="5" name="DESCRIÇÃO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8" xr16:uid="{40597652-6A93-4341-8C6A-CBE3671DBA30}" autoFormatId="16" applyNumberFormats="0" applyBorderFormats="0" applyFontFormats="0" applyPatternFormats="0" applyAlignmentFormats="0" applyWidthHeightFormats="0">
  <queryTableRefresh nextId="6">
    <queryTableFields count="5">
      <queryTableField id="1" name="TM" tableColumnId="1"/>
      <queryTableField id="2" name="F" tableColumnId="2"/>
      <queryTableField id="3" name="D" tableColumnId="3"/>
      <queryTableField id="4" name="OBR." tableColumnId="4"/>
      <queryTableField id="5" name="DESCRIÇÃO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6" xr16:uid="{D29A890F-A0E4-4B53-8050-612CBD349322}" autoFormatId="16" applyNumberFormats="0" applyBorderFormats="0" applyFontFormats="0" applyPatternFormats="0" applyAlignmentFormats="0" applyWidthHeightFormats="0">
  <queryTableRefresh nextId="6">
    <queryTableFields count="5">
      <queryTableField id="1" name="TM" tableColumnId="1"/>
      <queryTableField id="2" name="F" tableColumnId="2"/>
      <queryTableField id="3" name="D" tableColumnId="3"/>
      <queryTableField id="4" name="OBR." tableColumnId="4"/>
      <queryTableField id="5" name="DESCRIÇÃO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EA3D3024-2511-41B1-A37A-E91B937071C3}" autoFormatId="16" applyNumberFormats="0" applyBorderFormats="0" applyFontFormats="0" applyPatternFormats="0" applyAlignmentFormats="0" applyWidthHeightFormats="0">
  <queryTableRefresh nextId="6">
    <queryTableFields count="5">
      <queryTableField id="1" name="TM" tableColumnId="1"/>
      <queryTableField id="2" name="F" tableColumnId="2"/>
      <queryTableField id="3" name="D" tableColumnId="3"/>
      <queryTableField id="4" name="OBR." tableColumnId="4"/>
      <queryTableField id="5" name="DESCRIÇÃO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B29EDF50-8788-4B70-B3A4-C1BE22D621EC}" autoFormatId="16" applyNumberFormats="0" applyBorderFormats="0" applyFontFormats="0" applyPatternFormats="0" applyAlignmentFormats="0" applyWidthHeightFormats="0">
  <queryTableRefresh nextId="9">
    <queryTableFields count="5">
      <queryTableField id="1" name="TM" tableColumnId="1"/>
      <queryTableField id="2" name="F" tableColumnId="2"/>
      <queryTableField id="6" name="D" tableColumnId="6"/>
      <queryTableField id="4" name="OBR." tableColumnId="4"/>
      <queryTableField id="7" name="DESCRICAO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C4DD2069-43DA-4E5D-92FA-1BC62BB9E0A4}" autoFormatId="16" applyNumberFormats="0" applyBorderFormats="0" applyFontFormats="0" applyPatternFormats="0" applyAlignmentFormats="0" applyWidthHeightFormats="0">
  <queryTableRefresh nextId="6">
    <queryTableFields count="5">
      <queryTableField id="1" name="TM" tableColumnId="1"/>
      <queryTableField id="2" name="F" tableColumnId="2"/>
      <queryTableField id="3" name="D" tableColumnId="3"/>
      <queryTableField id="4" name="OBR." tableColumnId="4"/>
      <queryTableField id="5" name="DESCRIÇÃ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310D2C-F6B4-4932-9C52-9C6BC6E69EA9}" name="ALT_CADASTRAIS" displayName="ALT_CADASTRAIS" ref="A1:E11" tableType="queryTable" totalsRowShown="0">
  <autoFilter ref="A1:E11" xr:uid="{8C310D2C-F6B4-4932-9C52-9C6BC6E69EA9}"/>
  <tableColumns count="5">
    <tableColumn id="1" xr3:uid="{49BB2A88-A90B-4353-A37E-64AE14BD9B2D}" uniqueName="1" name="TM" queryTableFieldId="1"/>
    <tableColumn id="2" xr3:uid="{04D56926-9996-463D-961B-B0FDEBE4CCBE}" uniqueName="2" name="F" queryTableFieldId="2" dataDxfId="23"/>
    <tableColumn id="3" xr3:uid="{6BC0D58C-7B16-490B-8F47-82E8B71CF566}" uniqueName="3" name="D" queryTableFieldId="3" dataDxfId="22"/>
    <tableColumn id="4" xr3:uid="{B30BA9C1-3153-4150-8DC9-D12136937161}" uniqueName="4" name="OBR." queryTableFieldId="4" dataDxfId="21"/>
    <tableColumn id="5" xr3:uid="{7C491190-2553-4FD7-8B2F-E1B94C652546}" uniqueName="5" name="DESCRIÇÃO" queryTableFieldId="5" dataDxf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8DBD394-A0D6-4BD4-9D64-1910F4191797}" name="FICHA_FINANCEIRA" displayName="FICHA_FINANCEIRA" ref="A1:E30" tableType="queryTable" totalsRowShown="0">
  <autoFilter ref="A1:E30" xr:uid="{28DBD394-A0D6-4BD4-9D64-1910F4191797}"/>
  <tableColumns count="5">
    <tableColumn id="1" xr3:uid="{A30736FA-8E41-4970-BE06-D57D2619DC1B}" uniqueName="1" name="TM" queryTableFieldId="1"/>
    <tableColumn id="2" xr3:uid="{D9A2309B-9158-49DF-B8FB-CEBF1D8C2255}" uniqueName="2" name="F" queryTableFieldId="2" dataDxfId="5"/>
    <tableColumn id="3" xr3:uid="{B9B0276C-ACC4-4F21-9065-5455D51A346D}" uniqueName="3" name="D" queryTableFieldId="3"/>
    <tableColumn id="4" xr3:uid="{94831E57-E2A9-4973-AD26-AAF75A94B34E}" uniqueName="4" name="OBR." queryTableFieldId="4" dataDxfId="4"/>
    <tableColumn id="5" xr3:uid="{D8437505-26A2-4A17-A19C-88030BB9E7D3}" uniqueName="5" name="DESCRIÇÃO" queryTableFieldId="5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690710-1E38-413D-8BA7-B354AB65BE8A}" name="EVENTOS" displayName="EVENTOS" ref="A1:E8" tableType="queryTable" totalsRowShown="0">
  <autoFilter ref="A1:E8" xr:uid="{77690710-1E38-413D-8BA7-B354AB65BE8A}"/>
  <tableColumns count="5">
    <tableColumn id="1" xr3:uid="{C78C8D69-9EAC-4947-92B7-1466FB521E04}" uniqueName="1" name="TM" queryTableFieldId="1"/>
    <tableColumn id="2" xr3:uid="{6F4AD0D7-6934-4460-9579-D26C1E27645D}" uniqueName="2" name="F" queryTableFieldId="2" dataDxfId="27"/>
    <tableColumn id="3" xr3:uid="{723A5294-B050-48FD-8962-AF07E0F86152}" uniqueName="3" name="D" queryTableFieldId="3" dataDxfId="26"/>
    <tableColumn id="4" xr3:uid="{F2130AD4-23D5-4BAD-886D-98BDC7525F48}" uniqueName="4" name="OBR." queryTableFieldId="4" dataDxfId="25"/>
    <tableColumn id="5" xr3:uid="{9A5B0C1C-305C-4C2D-ACA5-B90A6A1D6808}" uniqueName="5" name="DESCRIÇÃO" queryTableFieldId="5" dataDxf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87AD67-41F0-4221-9B4A-53A3B2671047}" name="OCORRENCIAS" displayName="OCORRENCIAS" ref="A1:E36" tableType="queryTable" totalsRowShown="0">
  <autoFilter ref="A1:E36" xr:uid="{D287AD67-41F0-4221-9B4A-53A3B2671047}"/>
  <tableColumns count="5">
    <tableColumn id="1" xr3:uid="{08114E72-8165-43DC-9075-D32B6E22CEB2}" uniqueName="1" name="TM" queryTableFieldId="1"/>
    <tableColumn id="2" xr3:uid="{F7082ECF-8E7D-49B5-96A0-F6AE1E10F65E}" uniqueName="2" name="F" queryTableFieldId="2" dataDxfId="31"/>
    <tableColumn id="3" xr3:uid="{1FEAEDE5-C7D0-4B6C-9446-73D76CE45F4A}" uniqueName="3" name="D" queryTableFieldId="3" dataDxfId="30"/>
    <tableColumn id="4" xr3:uid="{C1AFB090-35C7-4A32-B398-4E5A587F6651}" uniqueName="4" name="OBR." queryTableFieldId="4" dataDxfId="29"/>
    <tableColumn id="5" xr3:uid="{90D200AD-A556-4E7F-B2CA-A1F5A788C5CF}" uniqueName="5" name="DESCRIÇÃO" queryTableFieldId="5" dataDxf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B7ADD1-F422-4D18-9E8E-CC9EAF0740BA}" name="PESSOAS" displayName="PESSOAS" ref="A1:E88" tableType="queryTable" totalsRowShown="0">
  <autoFilter ref="A1:E88" xr:uid="{7DB7ADD1-F422-4D18-9E8E-CC9EAF0740BA}"/>
  <tableColumns count="5">
    <tableColumn id="1" xr3:uid="{E79E4592-2C33-4B2B-B3BA-5B1FB70A7050}" uniqueName="1" name="TM" queryTableFieldId="1"/>
    <tableColumn id="2" xr3:uid="{0617077E-2B74-44C9-B926-F7DE66E92A95}" uniqueName="2" name="F" queryTableFieldId="2" dataDxfId="35"/>
    <tableColumn id="3" xr3:uid="{002F0EFC-812C-4DAB-910B-ECBC14224E8A}" uniqueName="3" name="D" queryTableFieldId="3" dataDxfId="34"/>
    <tableColumn id="4" xr3:uid="{455E5045-E9E6-4BC1-8ED4-EB8FB3C6AD10}" uniqueName="4" name="OBR." queryTableFieldId="4" dataDxfId="33"/>
    <tableColumn id="5" xr3:uid="{258895DC-DE79-4F04-A07E-65D2A369E96E}" uniqueName="5" name="DESCRIÇÃO" queryTableFieldId="5" dataDxfId="3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127BB2D-6DA6-46BB-A245-78B54E8CCB69}" name="HST_TRANSF" displayName="HST_TRANSF" ref="A1:E6" tableType="queryTable" totalsRowShown="0">
  <autoFilter ref="A1:E6" xr:uid="{9127BB2D-6DA6-46BB-A245-78B54E8CCB69}"/>
  <tableColumns count="5">
    <tableColumn id="1" xr3:uid="{6CA3F6F3-29B9-4373-9AD9-60BF72D66A08}" uniqueName="1" name="TM" queryTableFieldId="1"/>
    <tableColumn id="2" xr3:uid="{4245B475-E606-4028-8DAD-9D735E7A14B4}" uniqueName="2" name="F" queryTableFieldId="2" dataDxfId="13"/>
    <tableColumn id="3" xr3:uid="{8500CF19-72D7-483E-A8A0-19FC770A2C19}" uniqueName="3" name="D" queryTableFieldId="3" dataDxfId="12"/>
    <tableColumn id="4" xr3:uid="{26A31B4A-1BDC-4407-AF1B-1C5AF3CAA1B9}" uniqueName="4" name="OBR." queryTableFieldId="4" dataDxfId="11"/>
    <tableColumn id="5" xr3:uid="{F3DABFCA-E344-4DEA-AE0D-824D1FED31CF}" uniqueName="5" name="DESCRIÇÃO" queryTableFieldId="5" dataDxf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2352DAB-57F8-42B3-AF52-F49D83C72B80}" name="HST_ALT_SALARIAL" displayName="HST_ALT_SALARIAL" ref="A1:E20" tableType="queryTable" totalsRowShown="0">
  <autoFilter ref="A1:E20" xr:uid="{52352DAB-57F8-42B3-AF52-F49D83C72B80}"/>
  <tableColumns count="5">
    <tableColumn id="1" xr3:uid="{85F23E80-56A3-4E81-ACF1-72F53A8DA51D}" uniqueName="1" name="TM" queryTableFieldId="1"/>
    <tableColumn id="2" xr3:uid="{A60C2A0E-3FF4-459C-AC9F-40ABCC41A8E4}" uniqueName="2" name="F" queryTableFieldId="2" dataDxfId="16"/>
    <tableColumn id="3" xr3:uid="{1D8FE3C4-DD21-4135-B62A-EFC03C0119FB}" uniqueName="3" name="D" queryTableFieldId="3"/>
    <tableColumn id="4" xr3:uid="{89126DCE-2043-49DD-A46E-823063F56B47}" uniqueName="4" name="OBR." queryTableFieldId="4" dataDxfId="15"/>
    <tableColumn id="5" xr3:uid="{96D4E1A2-6690-4B40-B9E3-A5EC68BCE7F4}" uniqueName="5" name="DESCRIÇÃO" queryTableFieldId="5" dataDxfId="1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BB67A1-D032-42DD-98A4-77B4B1679A89}" name="FERIAS_CONCEDIDAS" displayName="FERIAS_CONCEDIDAS" ref="A1:E9" tableType="queryTable" totalsRowShown="0">
  <autoFilter ref="A1:E9" xr:uid="{33BB67A1-D032-42DD-98A4-77B4B1679A89}"/>
  <tableColumns count="5">
    <tableColumn id="1" xr3:uid="{1BFA3D31-A3B2-4CBE-BA11-25B24ECFCCF0}" uniqueName="1" name="TM" queryTableFieldId="1"/>
    <tableColumn id="2" xr3:uid="{71C7923C-E05E-417A-99B1-7DCFD551E58C}" uniqueName="2" name="F" queryTableFieldId="2" dataDxfId="19"/>
    <tableColumn id="3" xr3:uid="{DCC27B6C-8965-40DA-BFB6-18C00C03A278}" uniqueName="3" name="D" queryTableFieldId="3"/>
    <tableColumn id="4" xr3:uid="{23B15200-C2DC-46BB-9E27-018C58373AFD}" uniqueName="4" name="OBR." queryTableFieldId="4" dataDxfId="18"/>
    <tableColumn id="5" xr3:uid="{6C70D054-A645-4007-A48B-057E8C903657}" uniqueName="5" name="DESCRIÇÃO" queryTableFieldId="5" dataDxfId="1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665A60-8EDE-4180-8156-F36C46749CB4}" name="FAMILIA" displayName="FAMILIA" ref="A1:E74" tableType="queryTable" totalsRowShown="0">
  <autoFilter ref="A1:E74" xr:uid="{5B665A60-8EDE-4180-8156-F36C46749CB4}"/>
  <tableColumns count="5">
    <tableColumn id="1" xr3:uid="{0F21AC92-BE09-4E4B-ACC9-640019C0D6E7}" uniqueName="1" name="TM" queryTableFieldId="1"/>
    <tableColumn id="2" xr3:uid="{0AC59D85-2AE1-43AB-AB71-07B42B8C33A3}" uniqueName="2" name="F" queryTableFieldId="2" dataDxfId="9"/>
    <tableColumn id="3" xr3:uid="{CF12CF60-A703-475B-A48F-EFFAD2A4AD00}" uniqueName="3" name="D" queryTableFieldId="3" dataDxfId="8"/>
    <tableColumn id="4" xr3:uid="{BF94E83B-FA17-4FB8-80F7-6A0EA1B2031D}" uniqueName="4" name="OBR." queryTableFieldId="4" dataDxfId="7"/>
    <tableColumn id="5" xr3:uid="{771D95A7-37D0-4137-8135-84E5A5A16087}" uniqueName="5" name="DESCRIÇÃO" queryTableFieldId="5" dataDxf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7FD2C1-E480-4BFF-8921-408BA731D000}" name="CONTRATO" displayName="CONTRATO" ref="A1:E144" tableType="queryTable" totalsRowShown="0">
  <autoFilter ref="A1:E144" xr:uid="{6E7FD2C1-E480-4BFF-8921-408BA731D000}"/>
  <tableColumns count="5">
    <tableColumn id="1" xr3:uid="{3C12D3CA-82E1-4D12-9D13-E5319871A469}" uniqueName="1" name="TM" queryTableFieldId="1"/>
    <tableColumn id="2" xr3:uid="{05269625-8E6E-451A-95E7-F0B8439467BD}" uniqueName="2" name="F" queryTableFieldId="2" dataDxfId="2"/>
    <tableColumn id="6" xr3:uid="{E98DC1B6-778D-425C-9AFC-9B368C6AF7B3}" uniqueName="6" name="D" queryTableFieldId="6"/>
    <tableColumn id="4" xr3:uid="{673046A4-5B63-461B-B3B7-D4578A04A05D}" uniqueName="4" name="OBR." queryTableFieldId="4" dataDxfId="1"/>
    <tableColumn id="7" xr3:uid="{72F6911B-C24E-431C-8107-06F1B93F37F1}" uniqueName="7" name="DESCRICAO" queryTableFieldId="7" dataDxfId="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FD1EC5-D8AB-4D4D-B3F3-C5319BE48845}" name="CARGO" displayName="CARGO" ref="A1:E4" tableType="queryTable" totalsRowShown="0">
  <autoFilter ref="A1:E4" xr:uid="{F8FD1EC5-D8AB-4D4D-B3F3-C5319BE48845}"/>
  <tableColumns count="5">
    <tableColumn id="1" xr3:uid="{33238A6C-962D-4B05-82C1-646F738A470B}" uniqueName="1" name="TM" queryTableFieldId="1" dataDxfId="40"/>
    <tableColumn id="2" xr3:uid="{24CF904D-B3BC-474D-9AC9-D47230A7429A}" uniqueName="2" name="F" queryTableFieldId="2" dataDxfId="39"/>
    <tableColumn id="3" xr3:uid="{A4F5CCC0-6275-4B4B-9B7E-948AFBD26DA1}" uniqueName="3" name="D" queryTableFieldId="3" dataDxfId="38"/>
    <tableColumn id="4" xr3:uid="{CB70405E-55A0-43C7-9E12-37CC86A6EDBA}" uniqueName="4" name="OBR." queryTableFieldId="4" dataDxfId="37"/>
    <tableColumn id="5" xr3:uid="{7D0FE569-083A-4E82-A9B4-0B0583818D3F}" uniqueName="5" name="DESCRIÇÃO" queryTableFieldId="5" dataDxfId="3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/Users/LENOVO/Downloads/Planilha+Light+-+Dados+Fict&#237;cios+-+enviar%20(1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29335-0BB1-4368-8678-B5C97949C32B}">
  <dimension ref="A1:J11"/>
  <sheetViews>
    <sheetView workbookViewId="0">
      <selection activeCell="E2" sqref="E2:E11"/>
    </sheetView>
  </sheetViews>
  <sheetFormatPr defaultRowHeight="15" x14ac:dyDescent="0.25"/>
  <cols>
    <col min="1" max="1" width="6.140625" bestFit="1" customWidth="1"/>
    <col min="2" max="2" width="4.28515625" bestFit="1" customWidth="1"/>
    <col min="3" max="3" width="4.5703125" bestFit="1" customWidth="1"/>
    <col min="4" max="4" width="7.5703125" bestFit="1" customWidth="1"/>
    <col min="5" max="5" width="154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334</v>
      </c>
      <c r="G1" t="s">
        <v>340</v>
      </c>
      <c r="H1" t="s">
        <v>335</v>
      </c>
      <c r="I1" t="s">
        <v>339</v>
      </c>
    </row>
    <row r="2" spans="1:10" x14ac:dyDescent="0.25">
      <c r="A2">
        <v>4</v>
      </c>
      <c r="B2" s="1" t="s">
        <v>6</v>
      </c>
      <c r="C2" s="1" t="s">
        <v>7</v>
      </c>
      <c r="D2" s="1" t="s">
        <v>8</v>
      </c>
      <c r="E2" s="1" t="s">
        <v>16</v>
      </c>
      <c r="F2" t="str">
        <f>"["&amp;E2&amp;"]"</f>
        <v>[Código da Unidade, cfe. Tabela de Unidades]</v>
      </c>
      <c r="J2" t="str">
        <f>"LEFT(CAST("&amp;H2&amp;"."&amp;I2&amp;" AS "&amp;G2&amp;"), "&amp;A2*1&amp;") AS "&amp;F2&amp;","</f>
        <v>LEFT(CAST(. AS ), 4) AS [Código da Unidade, cfe. Tabela de Unidades],</v>
      </c>
    </row>
    <row r="3" spans="1:10" x14ac:dyDescent="0.25">
      <c r="A3">
        <v>8</v>
      </c>
      <c r="B3" s="1" t="s">
        <v>17</v>
      </c>
      <c r="C3" s="1" t="s">
        <v>7</v>
      </c>
      <c r="D3" s="1" t="s">
        <v>8</v>
      </c>
      <c r="E3" s="1" t="s">
        <v>18</v>
      </c>
    </row>
    <row r="4" spans="1:10" x14ac:dyDescent="0.25">
      <c r="A4">
        <v>8</v>
      </c>
      <c r="B4" s="1" t="s">
        <v>2</v>
      </c>
      <c r="C4" s="1" t="s">
        <v>7</v>
      </c>
      <c r="D4" s="1" t="s">
        <v>8</v>
      </c>
      <c r="E4" s="1" t="s">
        <v>247</v>
      </c>
    </row>
    <row r="5" spans="1:10" x14ac:dyDescent="0.25">
      <c r="A5">
        <v>4</v>
      </c>
      <c r="B5" s="1" t="s">
        <v>6</v>
      </c>
      <c r="C5" s="1" t="s">
        <v>7</v>
      </c>
      <c r="D5" s="1" t="s">
        <v>8</v>
      </c>
      <c r="E5" s="1" t="s">
        <v>248</v>
      </c>
    </row>
    <row r="6" spans="1:10" x14ac:dyDescent="0.25">
      <c r="B6" s="1" t="s">
        <v>7</v>
      </c>
      <c r="C6" s="1" t="s">
        <v>7</v>
      </c>
      <c r="D6" s="1" t="s">
        <v>7</v>
      </c>
      <c r="E6" s="1" t="s">
        <v>249</v>
      </c>
    </row>
    <row r="7" spans="1:10" x14ac:dyDescent="0.25">
      <c r="B7" s="1" t="s">
        <v>7</v>
      </c>
      <c r="C7" s="1" t="s">
        <v>7</v>
      </c>
      <c r="D7" s="1" t="s">
        <v>7</v>
      </c>
      <c r="E7" s="1" t="s">
        <v>250</v>
      </c>
    </row>
    <row r="8" spans="1:10" x14ac:dyDescent="0.25">
      <c r="A8">
        <v>8</v>
      </c>
      <c r="B8" s="1" t="s">
        <v>6</v>
      </c>
      <c r="C8" s="1" t="s">
        <v>7</v>
      </c>
      <c r="D8" s="1" t="s">
        <v>8</v>
      </c>
      <c r="E8" s="1" t="s">
        <v>251</v>
      </c>
    </row>
    <row r="9" spans="1:10" x14ac:dyDescent="0.25">
      <c r="A9">
        <v>40</v>
      </c>
      <c r="B9" s="1" t="s">
        <v>6</v>
      </c>
      <c r="C9" s="1" t="s">
        <v>7</v>
      </c>
      <c r="D9" s="1" t="s">
        <v>32</v>
      </c>
      <c r="E9" s="1" t="s">
        <v>252</v>
      </c>
    </row>
    <row r="10" spans="1:10" x14ac:dyDescent="0.25">
      <c r="A10">
        <v>8</v>
      </c>
      <c r="B10" s="1" t="s">
        <v>6</v>
      </c>
      <c r="C10" s="1" t="s">
        <v>7</v>
      </c>
      <c r="D10" s="1" t="s">
        <v>32</v>
      </c>
      <c r="E10" s="1" t="s">
        <v>253</v>
      </c>
    </row>
    <row r="11" spans="1:10" x14ac:dyDescent="0.25">
      <c r="A11">
        <v>40</v>
      </c>
      <c r="B11" s="1" t="s">
        <v>6</v>
      </c>
      <c r="C11" s="1" t="s">
        <v>7</v>
      </c>
      <c r="D11" s="1" t="s">
        <v>32</v>
      </c>
      <c r="E11" s="1" t="s">
        <v>254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00E5C-CD24-453C-A63C-3B3737E6DCC0}">
  <dimension ref="A1:J30"/>
  <sheetViews>
    <sheetView workbookViewId="0">
      <selection activeCell="J11" sqref="J11"/>
    </sheetView>
  </sheetViews>
  <sheetFormatPr defaultRowHeight="15" x14ac:dyDescent="0.25"/>
  <cols>
    <col min="1" max="1" width="6.140625" bestFit="1" customWidth="1"/>
    <col min="2" max="2" width="4.28515625" bestFit="1" customWidth="1"/>
    <col min="3" max="3" width="4.5703125" bestFit="1" customWidth="1"/>
    <col min="4" max="4" width="7.5703125" bestFit="1" customWidth="1"/>
    <col min="5" max="5" width="115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334</v>
      </c>
      <c r="G1" t="s">
        <v>340</v>
      </c>
      <c r="H1" t="s">
        <v>335</v>
      </c>
      <c r="I1" t="s">
        <v>339</v>
      </c>
    </row>
    <row r="2" spans="1:10" x14ac:dyDescent="0.25">
      <c r="A2">
        <v>4</v>
      </c>
      <c r="B2" s="1" t="s">
        <v>6</v>
      </c>
      <c r="D2" s="1" t="s">
        <v>8</v>
      </c>
      <c r="E2" s="1" t="s">
        <v>16</v>
      </c>
      <c r="F2" t="str">
        <f>"["&amp;E2&amp;"]"</f>
        <v>[Código da Unidade, cfe. Tabela de Unidades]</v>
      </c>
      <c r="J2" t="str">
        <f>"LEFT(CAST("&amp;H2&amp;"."&amp;I2&amp;" AS "&amp;G2&amp;"), "&amp;A2*1&amp;") AS "&amp;F2&amp;","</f>
        <v>LEFT(CAST(. AS ), 4) AS [Código da Unidade, cfe. Tabela de Unidades],</v>
      </c>
    </row>
    <row r="3" spans="1:10" x14ac:dyDescent="0.25">
      <c r="A3">
        <v>8</v>
      </c>
      <c r="B3" s="1" t="s">
        <v>17</v>
      </c>
      <c r="D3" s="1" t="s">
        <v>8</v>
      </c>
      <c r="E3" s="1" t="s">
        <v>18</v>
      </c>
    </row>
    <row r="4" spans="1:10" x14ac:dyDescent="0.25">
      <c r="A4">
        <v>8</v>
      </c>
      <c r="B4" s="1" t="s">
        <v>2</v>
      </c>
      <c r="D4" s="1" t="s">
        <v>8</v>
      </c>
      <c r="E4" s="1" t="s">
        <v>307</v>
      </c>
    </row>
    <row r="5" spans="1:10" x14ac:dyDescent="0.25">
      <c r="A5">
        <v>2</v>
      </c>
      <c r="B5" s="1" t="s">
        <v>17</v>
      </c>
      <c r="D5" s="1" t="s">
        <v>8</v>
      </c>
      <c r="E5" s="1" t="s">
        <v>308</v>
      </c>
    </row>
    <row r="6" spans="1:10" x14ac:dyDescent="0.25">
      <c r="B6" s="1" t="s">
        <v>7</v>
      </c>
      <c r="D6" s="1" t="s">
        <v>7</v>
      </c>
      <c r="E6" s="1" t="s">
        <v>309</v>
      </c>
    </row>
    <row r="7" spans="1:10" x14ac:dyDescent="0.25">
      <c r="B7" s="1" t="s">
        <v>7</v>
      </c>
      <c r="D7" s="1" t="s">
        <v>7</v>
      </c>
      <c r="E7" s="1" t="s">
        <v>310</v>
      </c>
    </row>
    <row r="8" spans="1:10" x14ac:dyDescent="0.25">
      <c r="B8" s="1" t="s">
        <v>7</v>
      </c>
      <c r="D8" s="1" t="s">
        <v>7</v>
      </c>
      <c r="E8" s="1" t="s">
        <v>311</v>
      </c>
    </row>
    <row r="9" spans="1:10" x14ac:dyDescent="0.25">
      <c r="B9" s="1" t="s">
        <v>7</v>
      </c>
      <c r="D9" s="1" t="s">
        <v>7</v>
      </c>
      <c r="E9" s="1" t="s">
        <v>312</v>
      </c>
    </row>
    <row r="10" spans="1:10" x14ac:dyDescent="0.25">
      <c r="B10" s="1" t="s">
        <v>7</v>
      </c>
      <c r="D10" s="1" t="s">
        <v>7</v>
      </c>
      <c r="E10" s="1" t="s">
        <v>313</v>
      </c>
    </row>
    <row r="11" spans="1:10" x14ac:dyDescent="0.25">
      <c r="B11" s="1" t="s">
        <v>7</v>
      </c>
      <c r="D11" s="1" t="s">
        <v>7</v>
      </c>
      <c r="E11" s="1" t="s">
        <v>314</v>
      </c>
    </row>
    <row r="12" spans="1:10" x14ac:dyDescent="0.25">
      <c r="B12" s="1" t="s">
        <v>7</v>
      </c>
      <c r="D12" s="1" t="s">
        <v>7</v>
      </c>
      <c r="E12" s="1" t="s">
        <v>315</v>
      </c>
    </row>
    <row r="13" spans="1:10" x14ac:dyDescent="0.25">
      <c r="B13" s="1" t="s">
        <v>7</v>
      </c>
      <c r="D13" s="1" t="s">
        <v>7</v>
      </c>
      <c r="E13" s="1" t="s">
        <v>316</v>
      </c>
    </row>
    <row r="14" spans="1:10" x14ac:dyDescent="0.25">
      <c r="B14" s="1" t="s">
        <v>7</v>
      </c>
      <c r="D14" s="1" t="s">
        <v>7</v>
      </c>
      <c r="E14" s="1" t="s">
        <v>317</v>
      </c>
    </row>
    <row r="15" spans="1:10" x14ac:dyDescent="0.25">
      <c r="B15" s="1" t="s">
        <v>7</v>
      </c>
      <c r="D15" s="1" t="s">
        <v>7</v>
      </c>
      <c r="E15" s="1" t="s">
        <v>318</v>
      </c>
    </row>
    <row r="16" spans="1:10" x14ac:dyDescent="0.25">
      <c r="B16" s="1" t="s">
        <v>7</v>
      </c>
      <c r="D16" s="1" t="s">
        <v>7</v>
      </c>
      <c r="E16" s="1" t="s">
        <v>319</v>
      </c>
    </row>
    <row r="17" spans="1:5" x14ac:dyDescent="0.25">
      <c r="B17" s="1" t="s">
        <v>7</v>
      </c>
      <c r="D17" s="1" t="s">
        <v>7</v>
      </c>
      <c r="E17" s="1" t="s">
        <v>320</v>
      </c>
    </row>
    <row r="18" spans="1:5" x14ac:dyDescent="0.25">
      <c r="B18" s="1" t="s">
        <v>7</v>
      </c>
      <c r="D18" s="1" t="s">
        <v>7</v>
      </c>
      <c r="E18" s="1" t="s">
        <v>321</v>
      </c>
    </row>
    <row r="19" spans="1:5" x14ac:dyDescent="0.25">
      <c r="B19" s="1" t="s">
        <v>7</v>
      </c>
      <c r="D19" s="1" t="s">
        <v>7</v>
      </c>
      <c r="E19" s="1" t="s">
        <v>322</v>
      </c>
    </row>
    <row r="20" spans="1:5" x14ac:dyDescent="0.25">
      <c r="A20">
        <v>5</v>
      </c>
      <c r="B20" s="1" t="s">
        <v>17</v>
      </c>
      <c r="D20" s="1" t="s">
        <v>8</v>
      </c>
      <c r="E20" s="1" t="s">
        <v>323</v>
      </c>
    </row>
    <row r="21" spans="1:5" x14ac:dyDescent="0.25">
      <c r="A21">
        <v>8</v>
      </c>
      <c r="B21" s="1" t="s">
        <v>2</v>
      </c>
      <c r="D21" s="1" t="s">
        <v>8</v>
      </c>
      <c r="E21" s="1" t="s">
        <v>324</v>
      </c>
    </row>
    <row r="22" spans="1:5" x14ac:dyDescent="0.25">
      <c r="A22">
        <v>1</v>
      </c>
      <c r="B22" s="1" t="s">
        <v>6</v>
      </c>
      <c r="D22" s="1" t="s">
        <v>8</v>
      </c>
      <c r="E22" s="1" t="s">
        <v>325</v>
      </c>
    </row>
    <row r="23" spans="1:5" x14ac:dyDescent="0.25">
      <c r="B23" s="1" t="s">
        <v>7</v>
      </c>
      <c r="D23" s="1" t="s">
        <v>7</v>
      </c>
      <c r="E23" s="1" t="s">
        <v>326</v>
      </c>
    </row>
    <row r="24" spans="1:5" x14ac:dyDescent="0.25">
      <c r="B24" s="1" t="s">
        <v>7</v>
      </c>
      <c r="D24" s="1" t="s">
        <v>7</v>
      </c>
      <c r="E24" s="1" t="s">
        <v>327</v>
      </c>
    </row>
    <row r="25" spans="1:5" x14ac:dyDescent="0.25">
      <c r="B25" s="1" t="s">
        <v>7</v>
      </c>
      <c r="D25" s="1" t="s">
        <v>7</v>
      </c>
      <c r="E25" s="1" t="s">
        <v>328</v>
      </c>
    </row>
    <row r="26" spans="1:5" x14ac:dyDescent="0.25">
      <c r="B26" s="1" t="s">
        <v>7</v>
      </c>
      <c r="D26" s="1" t="s">
        <v>7</v>
      </c>
      <c r="E26" s="1" t="s">
        <v>329</v>
      </c>
    </row>
    <row r="27" spans="1:5" x14ac:dyDescent="0.25">
      <c r="A27">
        <v>11</v>
      </c>
      <c r="B27" s="1" t="s">
        <v>17</v>
      </c>
      <c r="C27">
        <v>2</v>
      </c>
      <c r="D27" s="1" t="s">
        <v>32</v>
      </c>
      <c r="E27" s="1" t="s">
        <v>330</v>
      </c>
    </row>
    <row r="28" spans="1:5" x14ac:dyDescent="0.25">
      <c r="A28">
        <v>15</v>
      </c>
      <c r="B28" s="1" t="s">
        <v>17</v>
      </c>
      <c r="C28">
        <v>2</v>
      </c>
      <c r="D28" s="1" t="s">
        <v>8</v>
      </c>
      <c r="E28" s="1" t="s">
        <v>331</v>
      </c>
    </row>
    <row r="29" spans="1:5" x14ac:dyDescent="0.25">
      <c r="A29">
        <v>30</v>
      </c>
      <c r="B29" s="1" t="s">
        <v>6</v>
      </c>
      <c r="D29" s="1" t="s">
        <v>32</v>
      </c>
      <c r="E29" s="1" t="s">
        <v>332</v>
      </c>
    </row>
    <row r="30" spans="1:5" x14ac:dyDescent="0.25">
      <c r="A30">
        <v>100</v>
      </c>
      <c r="B30" s="1" t="s">
        <v>6</v>
      </c>
      <c r="D30" s="1" t="s">
        <v>32</v>
      </c>
      <c r="E30" s="1" t="s">
        <v>333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8054-561B-4512-B595-E1DF29BD4796}">
  <dimension ref="A1:J8"/>
  <sheetViews>
    <sheetView workbookViewId="0">
      <selection activeCell="J11" sqref="J11"/>
    </sheetView>
  </sheetViews>
  <sheetFormatPr defaultRowHeight="15" x14ac:dyDescent="0.25"/>
  <cols>
    <col min="1" max="1" width="6.140625" bestFit="1" customWidth="1"/>
    <col min="2" max="2" width="4.28515625" bestFit="1" customWidth="1"/>
    <col min="3" max="3" width="4.5703125" bestFit="1" customWidth="1"/>
    <col min="4" max="4" width="7.5703125" bestFit="1" customWidth="1"/>
    <col min="5" max="5" width="59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334</v>
      </c>
      <c r="G1" t="s">
        <v>340</v>
      </c>
      <c r="H1" t="s">
        <v>335</v>
      </c>
      <c r="I1" t="s">
        <v>339</v>
      </c>
    </row>
    <row r="2" spans="1:10" x14ac:dyDescent="0.25">
      <c r="A2">
        <v>5</v>
      </c>
      <c r="B2" s="1" t="s">
        <v>17</v>
      </c>
      <c r="C2" s="1" t="s">
        <v>7</v>
      </c>
      <c r="D2" s="1" t="s">
        <v>8</v>
      </c>
      <c r="E2" s="1" t="s">
        <v>240</v>
      </c>
      <c r="F2" t="str">
        <f>"["&amp;E2&amp;"]"</f>
        <v>[Código do Vencimento, Desconto ou Base Metadados (Destino)]</v>
      </c>
      <c r="J2" t="str">
        <f>"LEFT(CAST("&amp;H2&amp;"."&amp;I2&amp;" AS "&amp;G2&amp;"), "&amp;A2*1&amp;") AS "&amp;F2&amp;","</f>
        <v>LEFT(CAST(. AS ), 5) AS [Código do Vencimento, Desconto ou Base Metadados (Destino)],</v>
      </c>
    </row>
    <row r="3" spans="1:10" x14ac:dyDescent="0.25">
      <c r="A3">
        <v>7</v>
      </c>
      <c r="B3" s="1" t="s">
        <v>6</v>
      </c>
      <c r="C3" s="1" t="s">
        <v>7</v>
      </c>
      <c r="D3" s="1" t="s">
        <v>8</v>
      </c>
      <c r="E3" s="1" t="s">
        <v>241</v>
      </c>
    </row>
    <row r="4" spans="1:10" x14ac:dyDescent="0.25">
      <c r="A4">
        <v>30</v>
      </c>
      <c r="B4" s="1" t="s">
        <v>6</v>
      </c>
      <c r="C4" s="1" t="s">
        <v>7</v>
      </c>
      <c r="D4" s="1" t="s">
        <v>8</v>
      </c>
      <c r="E4" s="1" t="s">
        <v>242</v>
      </c>
    </row>
    <row r="5" spans="1:10" x14ac:dyDescent="0.25">
      <c r="A5">
        <v>1</v>
      </c>
      <c r="B5" s="1" t="s">
        <v>6</v>
      </c>
      <c r="C5" s="1" t="s">
        <v>7</v>
      </c>
      <c r="D5" s="1" t="s">
        <v>8</v>
      </c>
      <c r="E5" s="1" t="s">
        <v>243</v>
      </c>
    </row>
    <row r="6" spans="1:10" x14ac:dyDescent="0.25">
      <c r="B6" s="1" t="s">
        <v>7</v>
      </c>
      <c r="C6" s="1" t="s">
        <v>7</v>
      </c>
      <c r="D6" s="1" t="s">
        <v>7</v>
      </c>
      <c r="E6" s="1" t="s">
        <v>244</v>
      </c>
    </row>
    <row r="7" spans="1:10" x14ac:dyDescent="0.25">
      <c r="B7" s="1" t="s">
        <v>7</v>
      </c>
      <c r="C7" s="1" t="s">
        <v>7</v>
      </c>
      <c r="D7" s="1" t="s">
        <v>7</v>
      </c>
      <c r="E7" s="1" t="s">
        <v>245</v>
      </c>
    </row>
    <row r="8" spans="1:10" x14ac:dyDescent="0.25">
      <c r="B8" s="1" t="s">
        <v>7</v>
      </c>
      <c r="C8" s="1" t="s">
        <v>7</v>
      </c>
      <c r="D8" s="1" t="s">
        <v>7</v>
      </c>
      <c r="E8" s="1" t="s">
        <v>246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C31C3-6EAF-4CCF-946E-E6E6BF0B4223}">
  <dimension ref="A1:J36"/>
  <sheetViews>
    <sheetView tabSelected="1" workbookViewId="0">
      <selection activeCell="J12" sqref="J12"/>
    </sheetView>
  </sheetViews>
  <sheetFormatPr defaultRowHeight="15" x14ac:dyDescent="0.25"/>
  <cols>
    <col min="1" max="1" width="6.140625" bestFit="1" customWidth="1"/>
    <col min="2" max="2" width="4.28515625" bestFit="1" customWidth="1"/>
    <col min="3" max="3" width="4.5703125" bestFit="1" customWidth="1"/>
    <col min="4" max="4" width="7.5703125" bestFit="1" customWidth="1"/>
    <col min="5" max="5" width="69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334</v>
      </c>
      <c r="G1" t="s">
        <v>340</v>
      </c>
      <c r="H1" t="s">
        <v>335</v>
      </c>
      <c r="I1" t="s">
        <v>339</v>
      </c>
    </row>
    <row r="2" spans="1:10" x14ac:dyDescent="0.25">
      <c r="A2">
        <v>4</v>
      </c>
      <c r="B2" s="1" t="s">
        <v>6</v>
      </c>
      <c r="C2" s="1" t="s">
        <v>7</v>
      </c>
      <c r="D2" s="1" t="s">
        <v>8</v>
      </c>
      <c r="E2" s="1" t="s">
        <v>16</v>
      </c>
      <c r="F2" t="str">
        <f>"["&amp;E2&amp;"]"</f>
        <v>[Código da Unidade, cfe. Tabela de Unidades]</v>
      </c>
      <c r="J2" t="str">
        <f>"LEFT(CAST("&amp;H2&amp;"."&amp;I2&amp;" AS "&amp;G2&amp;"), "&amp;A2*1&amp;") AS "&amp;F2&amp;","</f>
        <v>LEFT(CAST(. AS ), 4) AS [Código da Unidade, cfe. Tabela de Unidades],</v>
      </c>
    </row>
    <row r="3" spans="1:10" x14ac:dyDescent="0.25">
      <c r="A3">
        <v>8</v>
      </c>
      <c r="B3" s="1" t="s">
        <v>17</v>
      </c>
      <c r="C3" s="1" t="s">
        <v>7</v>
      </c>
      <c r="D3" s="1" t="s">
        <v>8</v>
      </c>
      <c r="E3" s="1" t="s">
        <v>18</v>
      </c>
    </row>
    <row r="4" spans="1:10" x14ac:dyDescent="0.25">
      <c r="A4">
        <v>8</v>
      </c>
      <c r="B4" s="1" t="s">
        <v>2</v>
      </c>
      <c r="C4" s="1" t="s">
        <v>7</v>
      </c>
      <c r="D4" s="1" t="s">
        <v>8</v>
      </c>
      <c r="E4" s="1" t="s">
        <v>207</v>
      </c>
    </row>
    <row r="5" spans="1:10" x14ac:dyDescent="0.25">
      <c r="A5">
        <v>4</v>
      </c>
      <c r="B5" s="1" t="s">
        <v>6</v>
      </c>
      <c r="C5" s="1" t="s">
        <v>7</v>
      </c>
      <c r="D5" s="1" t="s">
        <v>8</v>
      </c>
      <c r="E5" s="1" t="s">
        <v>208</v>
      </c>
    </row>
    <row r="6" spans="1:10" x14ac:dyDescent="0.25">
      <c r="B6" s="1" t="s">
        <v>7</v>
      </c>
      <c r="C6" s="1" t="s">
        <v>7</v>
      </c>
      <c r="D6" s="1" t="s">
        <v>7</v>
      </c>
      <c r="E6" s="1" t="s">
        <v>209</v>
      </c>
    </row>
    <row r="7" spans="1:10" x14ac:dyDescent="0.25">
      <c r="B7" s="1" t="s">
        <v>7</v>
      </c>
      <c r="C7" s="1" t="s">
        <v>7</v>
      </c>
      <c r="D7" s="1" t="s">
        <v>7</v>
      </c>
      <c r="E7" s="1" t="s">
        <v>210</v>
      </c>
    </row>
    <row r="8" spans="1:10" x14ac:dyDescent="0.25">
      <c r="B8" s="1" t="s">
        <v>7</v>
      </c>
      <c r="C8" s="1" t="s">
        <v>7</v>
      </c>
      <c r="D8" s="1" t="s">
        <v>7</v>
      </c>
      <c r="E8" s="1" t="s">
        <v>211</v>
      </c>
    </row>
    <row r="9" spans="1:10" x14ac:dyDescent="0.25">
      <c r="B9" s="1" t="s">
        <v>7</v>
      </c>
      <c r="C9" s="1" t="s">
        <v>7</v>
      </c>
      <c r="D9" s="1" t="s">
        <v>7</v>
      </c>
      <c r="E9" s="1" t="s">
        <v>212</v>
      </c>
    </row>
    <row r="10" spans="1:10" x14ac:dyDescent="0.25">
      <c r="B10" s="1" t="s">
        <v>7</v>
      </c>
      <c r="C10" s="1" t="s">
        <v>7</v>
      </c>
      <c r="D10" s="1" t="s">
        <v>7</v>
      </c>
      <c r="E10" s="1" t="s">
        <v>213</v>
      </c>
    </row>
    <row r="11" spans="1:10" x14ac:dyDescent="0.25">
      <c r="B11" s="1" t="s">
        <v>7</v>
      </c>
      <c r="C11" s="1" t="s">
        <v>7</v>
      </c>
      <c r="D11" s="1" t="s">
        <v>7</v>
      </c>
      <c r="E11" s="1" t="s">
        <v>214</v>
      </c>
    </row>
    <row r="12" spans="1:10" x14ac:dyDescent="0.25">
      <c r="B12" s="1" t="s">
        <v>7</v>
      </c>
      <c r="C12" s="1" t="s">
        <v>7</v>
      </c>
      <c r="D12" s="1" t="s">
        <v>7</v>
      </c>
      <c r="E12" s="1" t="s">
        <v>215</v>
      </c>
    </row>
    <row r="13" spans="1:10" x14ac:dyDescent="0.25">
      <c r="B13" s="1" t="s">
        <v>7</v>
      </c>
      <c r="C13" s="1" t="s">
        <v>7</v>
      </c>
      <c r="D13" s="1" t="s">
        <v>7</v>
      </c>
      <c r="E13" s="1" t="s">
        <v>216</v>
      </c>
    </row>
    <row r="14" spans="1:10" x14ac:dyDescent="0.25">
      <c r="B14" s="1" t="s">
        <v>7</v>
      </c>
      <c r="C14" s="1" t="s">
        <v>7</v>
      </c>
      <c r="D14" s="1" t="s">
        <v>7</v>
      </c>
      <c r="E14" s="1" t="s">
        <v>217</v>
      </c>
    </row>
    <row r="15" spans="1:10" x14ac:dyDescent="0.25">
      <c r="B15" s="1" t="s">
        <v>7</v>
      </c>
      <c r="C15" s="1" t="s">
        <v>7</v>
      </c>
      <c r="D15" s="1" t="s">
        <v>7</v>
      </c>
      <c r="E15" s="1" t="s">
        <v>218</v>
      </c>
    </row>
    <row r="16" spans="1:10" x14ac:dyDescent="0.25">
      <c r="B16" s="1" t="s">
        <v>7</v>
      </c>
      <c r="C16" s="1" t="s">
        <v>7</v>
      </c>
      <c r="D16" s="1" t="s">
        <v>7</v>
      </c>
      <c r="E16" s="1" t="s">
        <v>219</v>
      </c>
    </row>
    <row r="17" spans="2:5" x14ac:dyDescent="0.25">
      <c r="B17" s="1" t="s">
        <v>7</v>
      </c>
      <c r="C17" s="1" t="s">
        <v>7</v>
      </c>
      <c r="D17" s="1" t="s">
        <v>7</v>
      </c>
      <c r="E17" s="1" t="s">
        <v>220</v>
      </c>
    </row>
    <row r="18" spans="2:5" x14ac:dyDescent="0.25">
      <c r="B18" s="1" t="s">
        <v>7</v>
      </c>
      <c r="C18" s="1" t="s">
        <v>7</v>
      </c>
      <c r="D18" s="1" t="s">
        <v>7</v>
      </c>
      <c r="E18" s="1" t="s">
        <v>221</v>
      </c>
    </row>
    <row r="19" spans="2:5" x14ac:dyDescent="0.25">
      <c r="B19" s="1" t="s">
        <v>7</v>
      </c>
      <c r="C19" s="1" t="s">
        <v>7</v>
      </c>
      <c r="D19" s="1" t="s">
        <v>7</v>
      </c>
      <c r="E19" s="1" t="s">
        <v>222</v>
      </c>
    </row>
    <row r="20" spans="2:5" x14ac:dyDescent="0.25">
      <c r="B20" s="1" t="s">
        <v>7</v>
      </c>
      <c r="C20" s="1" t="s">
        <v>7</v>
      </c>
      <c r="D20" s="1" t="s">
        <v>7</v>
      </c>
      <c r="E20" s="1" t="s">
        <v>223</v>
      </c>
    </row>
    <row r="21" spans="2:5" x14ac:dyDescent="0.25">
      <c r="B21" s="1" t="s">
        <v>7</v>
      </c>
      <c r="C21" s="1" t="s">
        <v>7</v>
      </c>
      <c r="D21" s="1" t="s">
        <v>7</v>
      </c>
      <c r="E21" s="1" t="s">
        <v>224</v>
      </c>
    </row>
    <row r="22" spans="2:5" x14ac:dyDescent="0.25">
      <c r="B22" s="1" t="s">
        <v>7</v>
      </c>
      <c r="C22" s="1" t="s">
        <v>7</v>
      </c>
      <c r="D22" s="1" t="s">
        <v>7</v>
      </c>
      <c r="E22" s="1" t="s">
        <v>225</v>
      </c>
    </row>
    <row r="23" spans="2:5" x14ac:dyDescent="0.25">
      <c r="B23" s="1" t="s">
        <v>7</v>
      </c>
      <c r="C23" s="1" t="s">
        <v>7</v>
      </c>
      <c r="D23" s="1" t="s">
        <v>7</v>
      </c>
      <c r="E23" s="1" t="s">
        <v>226</v>
      </c>
    </row>
    <row r="24" spans="2:5" x14ac:dyDescent="0.25">
      <c r="B24" s="1" t="s">
        <v>7</v>
      </c>
      <c r="C24" s="1" t="s">
        <v>7</v>
      </c>
      <c r="D24" s="1" t="s">
        <v>7</v>
      </c>
      <c r="E24" s="1" t="s">
        <v>227</v>
      </c>
    </row>
    <row r="25" spans="2:5" x14ac:dyDescent="0.25">
      <c r="B25" s="1" t="s">
        <v>7</v>
      </c>
      <c r="C25" s="1" t="s">
        <v>7</v>
      </c>
      <c r="D25" s="1" t="s">
        <v>7</v>
      </c>
      <c r="E25" s="1" t="s">
        <v>228</v>
      </c>
    </row>
    <row r="26" spans="2:5" x14ac:dyDescent="0.25">
      <c r="B26" s="1" t="s">
        <v>7</v>
      </c>
      <c r="C26" s="1" t="s">
        <v>7</v>
      </c>
      <c r="D26" s="1" t="s">
        <v>7</v>
      </c>
      <c r="E26" s="1" t="s">
        <v>229</v>
      </c>
    </row>
    <row r="27" spans="2:5" x14ac:dyDescent="0.25">
      <c r="B27" s="1" t="s">
        <v>7</v>
      </c>
      <c r="C27" s="1" t="s">
        <v>7</v>
      </c>
      <c r="D27" s="1" t="s">
        <v>7</v>
      </c>
      <c r="E27" s="1" t="s">
        <v>230</v>
      </c>
    </row>
    <row r="28" spans="2:5" x14ac:dyDescent="0.25">
      <c r="B28" s="1" t="s">
        <v>7</v>
      </c>
      <c r="C28" s="1" t="s">
        <v>7</v>
      </c>
      <c r="D28" s="1" t="s">
        <v>7</v>
      </c>
      <c r="E28" s="1" t="s">
        <v>231</v>
      </c>
    </row>
    <row r="29" spans="2:5" x14ac:dyDescent="0.25">
      <c r="B29" s="1" t="s">
        <v>7</v>
      </c>
      <c r="C29" s="1" t="s">
        <v>7</v>
      </c>
      <c r="D29" s="1" t="s">
        <v>7</v>
      </c>
      <c r="E29" s="1" t="s">
        <v>232</v>
      </c>
    </row>
    <row r="30" spans="2:5" x14ac:dyDescent="0.25">
      <c r="B30" s="1" t="s">
        <v>7</v>
      </c>
      <c r="C30" s="1" t="s">
        <v>7</v>
      </c>
      <c r="D30" s="1" t="s">
        <v>7</v>
      </c>
      <c r="E30" s="1" t="s">
        <v>233</v>
      </c>
    </row>
    <row r="31" spans="2:5" x14ac:dyDescent="0.25">
      <c r="B31" s="1" t="s">
        <v>7</v>
      </c>
      <c r="C31" s="1" t="s">
        <v>7</v>
      </c>
      <c r="D31" s="1" t="s">
        <v>7</v>
      </c>
      <c r="E31" s="1" t="s">
        <v>234</v>
      </c>
    </row>
    <row r="32" spans="2:5" x14ac:dyDescent="0.25">
      <c r="B32" s="1" t="s">
        <v>7</v>
      </c>
      <c r="C32" s="1" t="s">
        <v>7</v>
      </c>
      <c r="D32" s="1" t="s">
        <v>7</v>
      </c>
      <c r="E32" s="1" t="s">
        <v>235</v>
      </c>
    </row>
    <row r="33" spans="1:5" x14ac:dyDescent="0.25">
      <c r="B33" s="1" t="s">
        <v>7</v>
      </c>
      <c r="C33" s="1" t="s">
        <v>7</v>
      </c>
      <c r="D33" s="1" t="s">
        <v>7</v>
      </c>
      <c r="E33" s="1" t="s">
        <v>236</v>
      </c>
    </row>
    <row r="34" spans="1:5" x14ac:dyDescent="0.25">
      <c r="A34">
        <v>8</v>
      </c>
      <c r="B34" s="1" t="s">
        <v>2</v>
      </c>
      <c r="C34" s="1" t="s">
        <v>7</v>
      </c>
      <c r="D34" s="1" t="s">
        <v>32</v>
      </c>
      <c r="E34" s="1" t="s">
        <v>237</v>
      </c>
    </row>
    <row r="35" spans="1:5" x14ac:dyDescent="0.25">
      <c r="A35">
        <v>6</v>
      </c>
      <c r="B35" s="1" t="s">
        <v>6</v>
      </c>
      <c r="C35" s="1" t="s">
        <v>7</v>
      </c>
      <c r="D35" s="1" t="s">
        <v>32</v>
      </c>
      <c r="E35" s="1" t="s">
        <v>238</v>
      </c>
    </row>
    <row r="36" spans="1:5" x14ac:dyDescent="0.25">
      <c r="A36">
        <v>1000</v>
      </c>
      <c r="B36" s="1" t="s">
        <v>6</v>
      </c>
      <c r="C36" s="1" t="s">
        <v>7</v>
      </c>
      <c r="D36" s="1" t="s">
        <v>32</v>
      </c>
      <c r="E36" s="1" t="s">
        <v>239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82D3F-8D0A-4DEA-BC90-EF8FD61F6446}">
  <dimension ref="A1:J88"/>
  <sheetViews>
    <sheetView workbookViewId="0">
      <selection activeCell="J11" sqref="J11"/>
    </sheetView>
  </sheetViews>
  <sheetFormatPr defaultRowHeight="15" x14ac:dyDescent="0.25"/>
  <cols>
    <col min="1" max="1" width="6.140625" bestFit="1" customWidth="1"/>
    <col min="2" max="2" width="4.28515625" bestFit="1" customWidth="1"/>
    <col min="3" max="3" width="4.5703125" bestFit="1" customWidth="1"/>
    <col min="4" max="4" width="7.5703125" bestFit="1" customWidth="1"/>
    <col min="5" max="5" width="51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334</v>
      </c>
      <c r="G1" t="s">
        <v>340</v>
      </c>
      <c r="H1" t="s">
        <v>335</v>
      </c>
      <c r="I1" t="s">
        <v>339</v>
      </c>
    </row>
    <row r="2" spans="1:10" x14ac:dyDescent="0.25">
      <c r="A2">
        <v>4</v>
      </c>
      <c r="B2" s="1" t="s">
        <v>6</v>
      </c>
      <c r="C2" s="1" t="s">
        <v>7</v>
      </c>
      <c r="D2" s="1" t="s">
        <v>8</v>
      </c>
      <c r="E2" s="1" t="s">
        <v>14</v>
      </c>
      <c r="F2" t="str">
        <f>"["&amp;E2&amp;"]"</f>
        <v>[Código da Empresa, cfe. Tabela de Empresas]</v>
      </c>
      <c r="J2" t="str">
        <f>"LEFT(CAST("&amp;H2&amp;"."&amp;I2&amp;" AS "&amp;G2&amp;"), "&amp;A2*1&amp;") AS "&amp;F2&amp;","</f>
        <v>LEFT(CAST(. AS ), 4) AS [Código da Empresa, cfe. Tabela de Empresas],</v>
      </c>
    </row>
    <row r="3" spans="1:10" x14ac:dyDescent="0.25">
      <c r="A3">
        <v>8</v>
      </c>
      <c r="B3" s="1" t="s">
        <v>17</v>
      </c>
      <c r="C3" s="1" t="s">
        <v>7</v>
      </c>
      <c r="D3" s="1" t="s">
        <v>8</v>
      </c>
      <c r="E3" s="1" t="s">
        <v>121</v>
      </c>
    </row>
    <row r="4" spans="1:10" x14ac:dyDescent="0.25">
      <c r="A4">
        <v>40</v>
      </c>
      <c r="B4" s="1" t="s">
        <v>6</v>
      </c>
      <c r="C4" s="1" t="s">
        <v>7</v>
      </c>
      <c r="D4" s="1" t="s">
        <v>8</v>
      </c>
      <c r="E4" s="1" t="s">
        <v>122</v>
      </c>
    </row>
    <row r="5" spans="1:10" x14ac:dyDescent="0.25">
      <c r="A5">
        <v>40</v>
      </c>
      <c r="B5" s="1" t="s">
        <v>6</v>
      </c>
      <c r="C5" s="1" t="s">
        <v>7</v>
      </c>
      <c r="D5" s="1" t="s">
        <v>32</v>
      </c>
      <c r="E5" s="1" t="s">
        <v>123</v>
      </c>
    </row>
    <row r="6" spans="1:10" x14ac:dyDescent="0.25">
      <c r="A6">
        <v>40</v>
      </c>
      <c r="B6" s="1" t="s">
        <v>6</v>
      </c>
      <c r="C6" s="1" t="s">
        <v>7</v>
      </c>
      <c r="D6" s="1" t="s">
        <v>32</v>
      </c>
      <c r="E6" s="1" t="s">
        <v>124</v>
      </c>
    </row>
    <row r="7" spans="1:10" x14ac:dyDescent="0.25">
      <c r="A7">
        <v>8</v>
      </c>
      <c r="B7" s="1" t="s">
        <v>2</v>
      </c>
      <c r="C7" s="1" t="s">
        <v>7</v>
      </c>
      <c r="D7" s="1" t="s">
        <v>8</v>
      </c>
      <c r="E7" s="1" t="s">
        <v>125</v>
      </c>
    </row>
    <row r="8" spans="1:10" x14ac:dyDescent="0.25">
      <c r="A8">
        <v>20</v>
      </c>
      <c r="B8" s="1" t="s">
        <v>6</v>
      </c>
      <c r="C8" s="1" t="s">
        <v>7</v>
      </c>
      <c r="D8" s="1" t="s">
        <v>32</v>
      </c>
      <c r="E8" s="1" t="s">
        <v>126</v>
      </c>
    </row>
    <row r="9" spans="1:10" x14ac:dyDescent="0.25">
      <c r="A9">
        <v>2</v>
      </c>
      <c r="B9" s="1" t="s">
        <v>6</v>
      </c>
      <c r="C9" s="1" t="s">
        <v>7</v>
      </c>
      <c r="D9" s="1" t="s">
        <v>32</v>
      </c>
      <c r="E9" s="1" t="s">
        <v>127</v>
      </c>
    </row>
    <row r="10" spans="1:10" x14ac:dyDescent="0.25">
      <c r="A10">
        <v>1</v>
      </c>
      <c r="B10" s="1" t="s">
        <v>6</v>
      </c>
      <c r="C10" s="1" t="s">
        <v>7</v>
      </c>
      <c r="D10" s="1" t="s">
        <v>8</v>
      </c>
      <c r="E10" s="1" t="s">
        <v>128</v>
      </c>
    </row>
    <row r="11" spans="1:10" x14ac:dyDescent="0.25">
      <c r="B11" s="1" t="s">
        <v>7</v>
      </c>
      <c r="C11" s="1" t="s">
        <v>7</v>
      </c>
      <c r="D11" s="1" t="s">
        <v>7</v>
      </c>
      <c r="E11" s="1" t="s">
        <v>129</v>
      </c>
    </row>
    <row r="12" spans="1:10" x14ac:dyDescent="0.25">
      <c r="B12" s="1" t="s">
        <v>7</v>
      </c>
      <c r="C12" s="1" t="s">
        <v>7</v>
      </c>
      <c r="D12" s="1" t="s">
        <v>7</v>
      </c>
      <c r="E12" s="1" t="s">
        <v>130</v>
      </c>
    </row>
    <row r="13" spans="1:10" x14ac:dyDescent="0.25">
      <c r="A13">
        <v>1</v>
      </c>
      <c r="B13" s="1" t="s">
        <v>6</v>
      </c>
      <c r="C13" s="1" t="s">
        <v>7</v>
      </c>
      <c r="D13" s="1" t="s">
        <v>8</v>
      </c>
      <c r="E13" s="1" t="s">
        <v>131</v>
      </c>
    </row>
    <row r="14" spans="1:10" x14ac:dyDescent="0.25">
      <c r="B14" s="1" t="s">
        <v>7</v>
      </c>
      <c r="C14" s="1" t="s">
        <v>7</v>
      </c>
      <c r="D14" s="1" t="s">
        <v>7</v>
      </c>
      <c r="E14" s="1" t="s">
        <v>132</v>
      </c>
    </row>
    <row r="15" spans="1:10" x14ac:dyDescent="0.25">
      <c r="B15" s="1" t="s">
        <v>7</v>
      </c>
      <c r="C15" s="1" t="s">
        <v>7</v>
      </c>
      <c r="D15" s="1" t="s">
        <v>7</v>
      </c>
      <c r="E15" s="1" t="s">
        <v>133</v>
      </c>
    </row>
    <row r="16" spans="1:10" x14ac:dyDescent="0.25">
      <c r="B16" s="1" t="s">
        <v>7</v>
      </c>
      <c r="C16" s="1" t="s">
        <v>7</v>
      </c>
      <c r="D16" s="1" t="s">
        <v>7</v>
      </c>
      <c r="E16" s="1" t="s">
        <v>134</v>
      </c>
    </row>
    <row r="17" spans="1:5" x14ac:dyDescent="0.25">
      <c r="B17" s="1" t="s">
        <v>7</v>
      </c>
      <c r="C17" s="1" t="s">
        <v>7</v>
      </c>
      <c r="D17" s="1" t="s">
        <v>7</v>
      </c>
      <c r="E17" s="1" t="s">
        <v>135</v>
      </c>
    </row>
    <row r="18" spans="1:5" x14ac:dyDescent="0.25">
      <c r="B18" s="1" t="s">
        <v>7</v>
      </c>
      <c r="C18" s="1" t="s">
        <v>7</v>
      </c>
      <c r="D18" s="1" t="s">
        <v>7</v>
      </c>
      <c r="E18" s="1" t="s">
        <v>136</v>
      </c>
    </row>
    <row r="19" spans="1:5" x14ac:dyDescent="0.25">
      <c r="B19" s="1" t="s">
        <v>7</v>
      </c>
      <c r="C19" s="1" t="s">
        <v>7</v>
      </c>
      <c r="D19" s="1" t="s">
        <v>7</v>
      </c>
      <c r="E19" s="1" t="s">
        <v>137</v>
      </c>
    </row>
    <row r="20" spans="1:5" x14ac:dyDescent="0.25">
      <c r="A20">
        <v>1</v>
      </c>
      <c r="B20" s="1" t="s">
        <v>6</v>
      </c>
      <c r="C20" s="1" t="s">
        <v>7</v>
      </c>
      <c r="D20" s="1" t="s">
        <v>8</v>
      </c>
      <c r="E20" s="1" t="s">
        <v>138</v>
      </c>
    </row>
    <row r="21" spans="1:5" x14ac:dyDescent="0.25">
      <c r="B21" s="1" t="s">
        <v>7</v>
      </c>
      <c r="C21" s="1" t="s">
        <v>7</v>
      </c>
      <c r="D21" s="1" t="s">
        <v>7</v>
      </c>
      <c r="E21" s="1" t="s">
        <v>139</v>
      </c>
    </row>
    <row r="22" spans="1:5" x14ac:dyDescent="0.25">
      <c r="B22" s="1" t="s">
        <v>7</v>
      </c>
      <c r="C22" s="1" t="s">
        <v>7</v>
      </c>
      <c r="D22" s="1" t="s">
        <v>7</v>
      </c>
      <c r="E22" s="1" t="s">
        <v>140</v>
      </c>
    </row>
    <row r="23" spans="1:5" x14ac:dyDescent="0.25">
      <c r="B23" s="1" t="s">
        <v>7</v>
      </c>
      <c r="C23" s="1" t="s">
        <v>7</v>
      </c>
      <c r="D23" s="1" t="s">
        <v>7</v>
      </c>
      <c r="E23" s="1" t="s">
        <v>141</v>
      </c>
    </row>
    <row r="24" spans="1:5" x14ac:dyDescent="0.25">
      <c r="B24" s="1" t="s">
        <v>7</v>
      </c>
      <c r="C24" s="1" t="s">
        <v>7</v>
      </c>
      <c r="D24" s="1" t="s">
        <v>7</v>
      </c>
      <c r="E24" s="1" t="s">
        <v>142</v>
      </c>
    </row>
    <row r="25" spans="1:5" x14ac:dyDescent="0.25">
      <c r="B25" s="1" t="s">
        <v>7</v>
      </c>
      <c r="C25" s="1" t="s">
        <v>7</v>
      </c>
      <c r="D25" s="1" t="s">
        <v>7</v>
      </c>
      <c r="E25" s="1" t="s">
        <v>143</v>
      </c>
    </row>
    <row r="26" spans="1:5" x14ac:dyDescent="0.25">
      <c r="B26" s="1" t="s">
        <v>7</v>
      </c>
      <c r="C26" s="1" t="s">
        <v>7</v>
      </c>
      <c r="D26" s="1" t="s">
        <v>7</v>
      </c>
      <c r="E26" s="1" t="s">
        <v>144</v>
      </c>
    </row>
    <row r="27" spans="1:5" x14ac:dyDescent="0.25">
      <c r="A27">
        <v>40</v>
      </c>
      <c r="B27" s="1" t="s">
        <v>6</v>
      </c>
      <c r="C27" s="1" t="s">
        <v>7</v>
      </c>
      <c r="D27" s="1" t="s">
        <v>32</v>
      </c>
      <c r="E27" s="1" t="s">
        <v>145</v>
      </c>
    </row>
    <row r="28" spans="1:5" x14ac:dyDescent="0.25">
      <c r="A28">
        <v>8</v>
      </c>
      <c r="B28" s="1" t="s">
        <v>6</v>
      </c>
      <c r="C28" s="1" t="s">
        <v>7</v>
      </c>
      <c r="D28" s="1" t="s">
        <v>32</v>
      </c>
      <c r="E28" s="1" t="s">
        <v>146</v>
      </c>
    </row>
    <row r="29" spans="1:5" x14ac:dyDescent="0.25">
      <c r="A29">
        <v>20</v>
      </c>
      <c r="B29" s="1" t="s">
        <v>6</v>
      </c>
      <c r="C29" s="1" t="s">
        <v>7</v>
      </c>
      <c r="D29" s="1" t="s">
        <v>32</v>
      </c>
      <c r="E29" s="1" t="s">
        <v>147</v>
      </c>
    </row>
    <row r="30" spans="1:5" x14ac:dyDescent="0.25">
      <c r="A30">
        <v>20</v>
      </c>
      <c r="B30" s="1" t="s">
        <v>6</v>
      </c>
      <c r="C30" s="1" t="s">
        <v>7</v>
      </c>
      <c r="D30" s="1" t="s">
        <v>32</v>
      </c>
      <c r="E30" s="1" t="s">
        <v>148</v>
      </c>
    </row>
    <row r="31" spans="1:5" x14ac:dyDescent="0.25">
      <c r="A31">
        <v>20</v>
      </c>
      <c r="B31" s="1" t="s">
        <v>6</v>
      </c>
      <c r="C31" s="1" t="s">
        <v>7</v>
      </c>
      <c r="D31" s="1" t="s">
        <v>32</v>
      </c>
      <c r="E31" s="1" t="s">
        <v>149</v>
      </c>
    </row>
    <row r="32" spans="1:5" x14ac:dyDescent="0.25">
      <c r="A32">
        <v>10</v>
      </c>
      <c r="B32" s="1" t="s">
        <v>6</v>
      </c>
      <c r="C32" s="1" t="s">
        <v>7</v>
      </c>
      <c r="D32" s="1" t="s">
        <v>32</v>
      </c>
      <c r="E32" s="1" t="s">
        <v>150</v>
      </c>
    </row>
    <row r="33" spans="1:5" x14ac:dyDescent="0.25">
      <c r="A33">
        <v>2</v>
      </c>
      <c r="B33" s="1" t="s">
        <v>6</v>
      </c>
      <c r="C33" s="1" t="s">
        <v>7</v>
      </c>
      <c r="D33" s="1" t="s">
        <v>32</v>
      </c>
      <c r="E33" s="1" t="s">
        <v>151</v>
      </c>
    </row>
    <row r="34" spans="1:5" x14ac:dyDescent="0.25">
      <c r="A34">
        <v>4</v>
      </c>
      <c r="B34" s="1" t="s">
        <v>6</v>
      </c>
      <c r="C34" s="1" t="s">
        <v>7</v>
      </c>
      <c r="D34" s="1" t="s">
        <v>32</v>
      </c>
      <c r="E34" s="1" t="s">
        <v>152</v>
      </c>
    </row>
    <row r="35" spans="1:5" x14ac:dyDescent="0.25">
      <c r="A35">
        <v>15</v>
      </c>
      <c r="B35" s="1" t="s">
        <v>6</v>
      </c>
      <c r="C35" s="1" t="s">
        <v>7</v>
      </c>
      <c r="D35" s="1" t="s">
        <v>32</v>
      </c>
      <c r="E35" s="1" t="s">
        <v>153</v>
      </c>
    </row>
    <row r="36" spans="1:5" x14ac:dyDescent="0.25">
      <c r="A36">
        <v>40</v>
      </c>
      <c r="B36" s="1" t="s">
        <v>6</v>
      </c>
      <c r="C36" s="1" t="s">
        <v>7</v>
      </c>
      <c r="D36" s="1" t="s">
        <v>32</v>
      </c>
      <c r="E36" s="1" t="s">
        <v>154</v>
      </c>
    </row>
    <row r="37" spans="1:5" x14ac:dyDescent="0.25">
      <c r="A37">
        <v>11</v>
      </c>
      <c r="B37" s="1" t="s">
        <v>6</v>
      </c>
      <c r="C37" s="1" t="s">
        <v>7</v>
      </c>
      <c r="D37" s="1" t="s">
        <v>32</v>
      </c>
      <c r="E37" s="1" t="s">
        <v>155</v>
      </c>
    </row>
    <row r="38" spans="1:5" x14ac:dyDescent="0.25">
      <c r="A38">
        <v>8</v>
      </c>
      <c r="B38" s="1" t="s">
        <v>2</v>
      </c>
      <c r="C38" s="1" t="s">
        <v>7</v>
      </c>
      <c r="D38" s="1" t="s">
        <v>32</v>
      </c>
      <c r="E38" s="1" t="s">
        <v>156</v>
      </c>
    </row>
    <row r="39" spans="1:5" x14ac:dyDescent="0.25">
      <c r="A39">
        <v>11</v>
      </c>
      <c r="B39" s="1" t="s">
        <v>6</v>
      </c>
      <c r="C39" s="1" t="s">
        <v>7</v>
      </c>
      <c r="D39" s="1" t="s">
        <v>8</v>
      </c>
      <c r="E39" s="1" t="s">
        <v>157</v>
      </c>
    </row>
    <row r="40" spans="1:5" x14ac:dyDescent="0.25">
      <c r="A40">
        <v>15</v>
      </c>
      <c r="B40" s="1" t="s">
        <v>6</v>
      </c>
      <c r="C40" s="1" t="s">
        <v>7</v>
      </c>
      <c r="D40" s="1" t="s">
        <v>32</v>
      </c>
      <c r="E40" s="1" t="s">
        <v>158</v>
      </c>
    </row>
    <row r="41" spans="1:5" x14ac:dyDescent="0.25">
      <c r="A41">
        <v>8</v>
      </c>
      <c r="B41" s="1" t="s">
        <v>2</v>
      </c>
      <c r="C41" s="1" t="s">
        <v>7</v>
      </c>
      <c r="D41" s="1" t="s">
        <v>32</v>
      </c>
      <c r="E41" s="1" t="s">
        <v>159</v>
      </c>
    </row>
    <row r="42" spans="1:5" x14ac:dyDescent="0.25">
      <c r="A42">
        <v>8</v>
      </c>
      <c r="B42" s="1" t="s">
        <v>6</v>
      </c>
      <c r="C42" s="1" t="s">
        <v>7</v>
      </c>
      <c r="D42" s="1" t="s">
        <v>32</v>
      </c>
      <c r="E42" s="1" t="s">
        <v>160</v>
      </c>
    </row>
    <row r="43" spans="1:5" x14ac:dyDescent="0.25">
      <c r="A43">
        <v>2</v>
      </c>
      <c r="B43" s="1" t="s">
        <v>6</v>
      </c>
      <c r="C43" s="1" t="s">
        <v>7</v>
      </c>
      <c r="D43" s="1" t="s">
        <v>32</v>
      </c>
      <c r="E43" s="1" t="s">
        <v>161</v>
      </c>
    </row>
    <row r="44" spans="1:5" x14ac:dyDescent="0.25">
      <c r="A44">
        <v>15</v>
      </c>
      <c r="B44" s="1" t="s">
        <v>6</v>
      </c>
      <c r="C44" s="1" t="s">
        <v>7</v>
      </c>
      <c r="D44" s="1" t="s">
        <v>32</v>
      </c>
      <c r="E44" s="1" t="s">
        <v>162</v>
      </c>
    </row>
    <row r="45" spans="1:5" x14ac:dyDescent="0.25">
      <c r="A45">
        <v>4</v>
      </c>
      <c r="B45" s="1" t="s">
        <v>6</v>
      </c>
      <c r="C45" s="1" t="s">
        <v>7</v>
      </c>
      <c r="D45" s="1" t="s">
        <v>32</v>
      </c>
      <c r="E45" s="1" t="s">
        <v>163</v>
      </c>
    </row>
    <row r="46" spans="1:5" x14ac:dyDescent="0.25">
      <c r="A46">
        <v>4</v>
      </c>
      <c r="B46" s="1" t="s">
        <v>6</v>
      </c>
      <c r="C46" s="1" t="s">
        <v>7</v>
      </c>
      <c r="D46" s="1" t="s">
        <v>32</v>
      </c>
      <c r="E46" s="1" t="s">
        <v>164</v>
      </c>
    </row>
    <row r="47" spans="1:5" x14ac:dyDescent="0.25">
      <c r="A47">
        <v>1</v>
      </c>
      <c r="B47" s="1" t="s">
        <v>6</v>
      </c>
      <c r="C47" s="1" t="s">
        <v>7</v>
      </c>
      <c r="D47" s="1" t="s">
        <v>32</v>
      </c>
      <c r="E47" s="1" t="s">
        <v>165</v>
      </c>
    </row>
    <row r="48" spans="1:5" x14ac:dyDescent="0.25">
      <c r="B48" s="1" t="s">
        <v>7</v>
      </c>
      <c r="C48" s="1" t="s">
        <v>7</v>
      </c>
      <c r="D48" s="1" t="s">
        <v>7</v>
      </c>
      <c r="E48" s="1" t="s">
        <v>166</v>
      </c>
    </row>
    <row r="49" spans="1:5" x14ac:dyDescent="0.25">
      <c r="B49" s="1" t="s">
        <v>7</v>
      </c>
      <c r="C49" s="1" t="s">
        <v>7</v>
      </c>
      <c r="D49" s="1" t="s">
        <v>7</v>
      </c>
      <c r="E49" s="1" t="s">
        <v>167</v>
      </c>
    </row>
    <row r="50" spans="1:5" x14ac:dyDescent="0.25">
      <c r="A50">
        <v>8</v>
      </c>
      <c r="B50" s="1" t="s">
        <v>2</v>
      </c>
      <c r="C50" s="1" t="s">
        <v>7</v>
      </c>
      <c r="D50" s="1" t="s">
        <v>32</v>
      </c>
      <c r="E50" s="1" t="s">
        <v>168</v>
      </c>
    </row>
    <row r="51" spans="1:5" x14ac:dyDescent="0.25">
      <c r="A51">
        <v>2</v>
      </c>
      <c r="B51" s="1" t="s">
        <v>6</v>
      </c>
      <c r="C51" s="1" t="s">
        <v>7</v>
      </c>
      <c r="D51" s="1" t="s">
        <v>32</v>
      </c>
      <c r="E51" s="1" t="s">
        <v>169</v>
      </c>
    </row>
    <row r="52" spans="1:5" x14ac:dyDescent="0.25">
      <c r="B52" s="1" t="s">
        <v>7</v>
      </c>
      <c r="C52" s="1" t="s">
        <v>7</v>
      </c>
      <c r="D52" s="1" t="s">
        <v>7</v>
      </c>
      <c r="E52" s="1" t="s">
        <v>170</v>
      </c>
    </row>
    <row r="53" spans="1:5" x14ac:dyDescent="0.25">
      <c r="B53" s="1" t="s">
        <v>7</v>
      </c>
      <c r="C53" s="1" t="s">
        <v>7</v>
      </c>
      <c r="D53" s="1" t="s">
        <v>7</v>
      </c>
      <c r="E53" s="1" t="s">
        <v>171</v>
      </c>
    </row>
    <row r="54" spans="1:5" x14ac:dyDescent="0.25">
      <c r="B54" s="1" t="s">
        <v>7</v>
      </c>
      <c r="C54" s="1" t="s">
        <v>7</v>
      </c>
      <c r="D54" s="1" t="s">
        <v>7</v>
      </c>
      <c r="E54" s="1" t="s">
        <v>172</v>
      </c>
    </row>
    <row r="55" spans="1:5" x14ac:dyDescent="0.25">
      <c r="B55" s="1" t="s">
        <v>7</v>
      </c>
      <c r="C55" s="1" t="s">
        <v>7</v>
      </c>
      <c r="D55" s="1" t="s">
        <v>7</v>
      </c>
      <c r="E55" s="1" t="s">
        <v>173</v>
      </c>
    </row>
    <row r="56" spans="1:5" x14ac:dyDescent="0.25">
      <c r="B56" s="1" t="s">
        <v>7</v>
      </c>
      <c r="C56" s="1" t="s">
        <v>7</v>
      </c>
      <c r="D56" s="1" t="s">
        <v>7</v>
      </c>
      <c r="E56" s="1" t="s">
        <v>174</v>
      </c>
    </row>
    <row r="57" spans="1:5" x14ac:dyDescent="0.25">
      <c r="A57">
        <v>2</v>
      </c>
      <c r="B57" s="1" t="s">
        <v>6</v>
      </c>
      <c r="C57" s="1" t="s">
        <v>7</v>
      </c>
      <c r="D57" s="1" t="s">
        <v>32</v>
      </c>
      <c r="E57" s="1" t="s">
        <v>175</v>
      </c>
    </row>
    <row r="58" spans="1:5" x14ac:dyDescent="0.25">
      <c r="B58" s="1" t="s">
        <v>7</v>
      </c>
      <c r="C58" s="1" t="s">
        <v>7</v>
      </c>
      <c r="D58" s="1" t="s">
        <v>7</v>
      </c>
      <c r="E58" s="1" t="s">
        <v>176</v>
      </c>
    </row>
    <row r="59" spans="1:5" x14ac:dyDescent="0.25">
      <c r="B59" s="1" t="s">
        <v>7</v>
      </c>
      <c r="C59" s="1" t="s">
        <v>7</v>
      </c>
      <c r="D59" s="1" t="s">
        <v>7</v>
      </c>
      <c r="E59" s="1" t="s">
        <v>177</v>
      </c>
    </row>
    <row r="60" spans="1:5" x14ac:dyDescent="0.25">
      <c r="B60" s="1" t="s">
        <v>7</v>
      </c>
      <c r="C60" s="1" t="s">
        <v>7</v>
      </c>
      <c r="D60" s="1" t="s">
        <v>7</v>
      </c>
      <c r="E60" s="1" t="s">
        <v>178</v>
      </c>
    </row>
    <row r="61" spans="1:5" x14ac:dyDescent="0.25">
      <c r="B61" s="1" t="s">
        <v>7</v>
      </c>
      <c r="C61" s="1" t="s">
        <v>7</v>
      </c>
      <c r="D61" s="1" t="s">
        <v>7</v>
      </c>
      <c r="E61" s="1" t="s">
        <v>179</v>
      </c>
    </row>
    <row r="62" spans="1:5" x14ac:dyDescent="0.25">
      <c r="B62" s="1" t="s">
        <v>7</v>
      </c>
      <c r="C62" s="1" t="s">
        <v>7</v>
      </c>
      <c r="D62" s="1" t="s">
        <v>7</v>
      </c>
      <c r="E62" s="1" t="s">
        <v>180</v>
      </c>
    </row>
    <row r="63" spans="1:5" x14ac:dyDescent="0.25">
      <c r="B63" s="1" t="s">
        <v>7</v>
      </c>
      <c r="C63" s="1" t="s">
        <v>7</v>
      </c>
      <c r="D63" s="1" t="s">
        <v>7</v>
      </c>
      <c r="E63" s="1" t="s">
        <v>181</v>
      </c>
    </row>
    <row r="64" spans="1:5" x14ac:dyDescent="0.25">
      <c r="B64" s="1" t="s">
        <v>7</v>
      </c>
      <c r="C64" s="1" t="s">
        <v>7</v>
      </c>
      <c r="D64" s="1" t="s">
        <v>7</v>
      </c>
      <c r="E64" s="1" t="s">
        <v>182</v>
      </c>
    </row>
    <row r="65" spans="1:5" x14ac:dyDescent="0.25">
      <c r="B65" s="1" t="s">
        <v>7</v>
      </c>
      <c r="C65" s="1" t="s">
        <v>7</v>
      </c>
      <c r="D65" s="1" t="s">
        <v>7</v>
      </c>
      <c r="E65" s="1" t="s">
        <v>183</v>
      </c>
    </row>
    <row r="66" spans="1:5" x14ac:dyDescent="0.25">
      <c r="B66" s="1" t="s">
        <v>7</v>
      </c>
      <c r="C66" s="1" t="s">
        <v>7</v>
      </c>
      <c r="D66" s="1" t="s">
        <v>7</v>
      </c>
      <c r="E66" s="1" t="s">
        <v>184</v>
      </c>
    </row>
    <row r="67" spans="1:5" x14ac:dyDescent="0.25">
      <c r="B67" s="1" t="s">
        <v>7</v>
      </c>
      <c r="C67" s="1" t="s">
        <v>7</v>
      </c>
      <c r="D67" s="1" t="s">
        <v>7</v>
      </c>
      <c r="E67" s="1" t="s">
        <v>185</v>
      </c>
    </row>
    <row r="68" spans="1:5" x14ac:dyDescent="0.25">
      <c r="B68" s="1" t="s">
        <v>7</v>
      </c>
      <c r="C68" s="1" t="s">
        <v>7</v>
      </c>
      <c r="D68" s="1" t="s">
        <v>7</v>
      </c>
      <c r="E68" s="1" t="s">
        <v>186</v>
      </c>
    </row>
    <row r="69" spans="1:5" x14ac:dyDescent="0.25">
      <c r="B69" s="1" t="s">
        <v>7</v>
      </c>
      <c r="C69" s="1" t="s">
        <v>7</v>
      </c>
      <c r="D69" s="1" t="s">
        <v>7</v>
      </c>
      <c r="E69" s="1" t="s">
        <v>187</v>
      </c>
    </row>
    <row r="70" spans="1:5" x14ac:dyDescent="0.25">
      <c r="A70">
        <v>2</v>
      </c>
      <c r="B70" s="1" t="s">
        <v>6</v>
      </c>
      <c r="C70" s="1" t="s">
        <v>7</v>
      </c>
      <c r="D70" s="1" t="s">
        <v>32</v>
      </c>
      <c r="E70" s="1" t="s">
        <v>188</v>
      </c>
    </row>
    <row r="71" spans="1:5" x14ac:dyDescent="0.25">
      <c r="A71">
        <v>4</v>
      </c>
      <c r="B71" s="1" t="s">
        <v>6</v>
      </c>
      <c r="C71" s="1" t="s">
        <v>7</v>
      </c>
      <c r="D71" s="1" t="s">
        <v>32</v>
      </c>
      <c r="E71" s="1" t="s">
        <v>189</v>
      </c>
    </row>
    <row r="72" spans="1:5" x14ac:dyDescent="0.25">
      <c r="A72">
        <v>15</v>
      </c>
      <c r="B72" s="1" t="s">
        <v>6</v>
      </c>
      <c r="C72" s="1" t="s">
        <v>7</v>
      </c>
      <c r="D72" s="1" t="s">
        <v>32</v>
      </c>
      <c r="E72" s="1" t="s">
        <v>190</v>
      </c>
    </row>
    <row r="73" spans="1:5" x14ac:dyDescent="0.25">
      <c r="A73">
        <v>20</v>
      </c>
      <c r="B73" s="1" t="s">
        <v>6</v>
      </c>
      <c r="C73" s="1" t="s">
        <v>7</v>
      </c>
      <c r="D73" s="1" t="s">
        <v>32</v>
      </c>
      <c r="E73" s="1" t="s">
        <v>191</v>
      </c>
    </row>
    <row r="74" spans="1:5" x14ac:dyDescent="0.25">
      <c r="A74">
        <v>15</v>
      </c>
      <c r="B74" s="1" t="s">
        <v>6</v>
      </c>
      <c r="C74" s="1" t="s">
        <v>7</v>
      </c>
      <c r="D74" s="1" t="s">
        <v>32</v>
      </c>
      <c r="E74" s="1" t="s">
        <v>192</v>
      </c>
    </row>
    <row r="75" spans="1:5" x14ac:dyDescent="0.25">
      <c r="A75">
        <v>3</v>
      </c>
      <c r="B75" s="1" t="s">
        <v>6</v>
      </c>
      <c r="C75" s="1" t="s">
        <v>7</v>
      </c>
      <c r="D75" s="1" t="s">
        <v>32</v>
      </c>
      <c r="E75" s="1" t="s">
        <v>193</v>
      </c>
    </row>
    <row r="76" spans="1:5" x14ac:dyDescent="0.25">
      <c r="A76">
        <v>8</v>
      </c>
      <c r="B76" s="1" t="s">
        <v>2</v>
      </c>
      <c r="C76" s="1" t="s">
        <v>7</v>
      </c>
      <c r="D76" s="1" t="s">
        <v>32</v>
      </c>
      <c r="E76" s="1" t="s">
        <v>194</v>
      </c>
    </row>
    <row r="77" spans="1:5" x14ac:dyDescent="0.25">
      <c r="A77">
        <v>20</v>
      </c>
      <c r="B77" s="1" t="s">
        <v>6</v>
      </c>
      <c r="C77" s="1" t="s">
        <v>7</v>
      </c>
      <c r="D77" s="1" t="s">
        <v>32</v>
      </c>
      <c r="E77" s="1" t="s">
        <v>195</v>
      </c>
    </row>
    <row r="78" spans="1:5" x14ac:dyDescent="0.25">
      <c r="A78">
        <v>2</v>
      </c>
      <c r="B78" s="1" t="s">
        <v>6</v>
      </c>
      <c r="C78" s="1" t="s">
        <v>7</v>
      </c>
      <c r="D78" s="1" t="s">
        <v>32</v>
      </c>
      <c r="E78" s="1" t="s">
        <v>196</v>
      </c>
    </row>
    <row r="79" spans="1:5" x14ac:dyDescent="0.25">
      <c r="A79">
        <v>20</v>
      </c>
      <c r="B79" s="1" t="s">
        <v>6</v>
      </c>
      <c r="C79" s="1" t="s">
        <v>7</v>
      </c>
      <c r="D79" s="1" t="s">
        <v>32</v>
      </c>
      <c r="E79" s="1" t="s">
        <v>197</v>
      </c>
    </row>
    <row r="80" spans="1:5" x14ac:dyDescent="0.25">
      <c r="A80">
        <v>14</v>
      </c>
      <c r="B80" s="1" t="s">
        <v>6</v>
      </c>
      <c r="C80" s="1" t="s">
        <v>7</v>
      </c>
      <c r="D80" s="1" t="s">
        <v>32</v>
      </c>
      <c r="E80" s="1" t="s">
        <v>198</v>
      </c>
    </row>
    <row r="81" spans="1:5" x14ac:dyDescent="0.25">
      <c r="A81">
        <v>8</v>
      </c>
      <c r="B81" s="1" t="s">
        <v>2</v>
      </c>
      <c r="C81" s="1" t="s">
        <v>7</v>
      </c>
      <c r="D81" s="1" t="s">
        <v>32</v>
      </c>
      <c r="E81" s="1" t="s">
        <v>199</v>
      </c>
    </row>
    <row r="82" spans="1:5" x14ac:dyDescent="0.25">
      <c r="A82">
        <v>20</v>
      </c>
      <c r="B82" s="1" t="s">
        <v>6</v>
      </c>
      <c r="C82" s="1" t="s">
        <v>7</v>
      </c>
      <c r="D82" s="1" t="s">
        <v>32</v>
      </c>
      <c r="E82" s="1" t="s">
        <v>200</v>
      </c>
    </row>
    <row r="83" spans="1:5" x14ac:dyDescent="0.25">
      <c r="A83">
        <v>10</v>
      </c>
      <c r="B83" s="1" t="s">
        <v>6</v>
      </c>
      <c r="C83" s="1" t="s">
        <v>7</v>
      </c>
      <c r="D83" s="1" t="s">
        <v>32</v>
      </c>
      <c r="E83" s="1" t="s">
        <v>201</v>
      </c>
    </row>
    <row r="84" spans="1:5" x14ac:dyDescent="0.25">
      <c r="A84">
        <v>5</v>
      </c>
      <c r="B84" s="1" t="s">
        <v>6</v>
      </c>
      <c r="C84" s="1" t="s">
        <v>7</v>
      </c>
      <c r="D84" s="1" t="s">
        <v>32</v>
      </c>
      <c r="E84" s="1" t="s">
        <v>202</v>
      </c>
    </row>
    <row r="85" spans="1:5" x14ac:dyDescent="0.25">
      <c r="A85">
        <v>8</v>
      </c>
      <c r="B85" s="1" t="s">
        <v>2</v>
      </c>
      <c r="C85" s="1" t="s">
        <v>7</v>
      </c>
      <c r="D85" s="1" t="s">
        <v>32</v>
      </c>
      <c r="E85" s="1" t="s">
        <v>203</v>
      </c>
    </row>
    <row r="86" spans="1:5" x14ac:dyDescent="0.25">
      <c r="A86">
        <v>2</v>
      </c>
      <c r="B86" s="1" t="s">
        <v>6</v>
      </c>
      <c r="C86" s="1" t="s">
        <v>7</v>
      </c>
      <c r="D86" s="1" t="s">
        <v>32</v>
      </c>
      <c r="E86" s="1" t="s">
        <v>204</v>
      </c>
    </row>
    <row r="87" spans="1:5" x14ac:dyDescent="0.25">
      <c r="A87">
        <v>70</v>
      </c>
      <c r="B87" s="1" t="s">
        <v>6</v>
      </c>
      <c r="C87" s="1" t="s">
        <v>7</v>
      </c>
      <c r="D87" s="1" t="s">
        <v>32</v>
      </c>
      <c r="E87" s="1" t="s">
        <v>205</v>
      </c>
    </row>
    <row r="88" spans="1:5" x14ac:dyDescent="0.25">
      <c r="A88">
        <v>8</v>
      </c>
      <c r="B88" s="1" t="s">
        <v>2</v>
      </c>
      <c r="C88" s="1" t="s">
        <v>7</v>
      </c>
      <c r="D88" s="1" t="s">
        <v>32</v>
      </c>
      <c r="E88" s="1" t="s">
        <v>206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94ABD-B2B3-4185-965E-FD3BDB1568A2}">
  <dimension ref="A1:J6"/>
  <sheetViews>
    <sheetView workbookViewId="0">
      <selection activeCell="J11" sqref="J11"/>
    </sheetView>
  </sheetViews>
  <sheetFormatPr defaultRowHeight="15" x14ac:dyDescent="0.25"/>
  <cols>
    <col min="1" max="1" width="6.140625" bestFit="1" customWidth="1"/>
    <col min="2" max="2" width="4.28515625" bestFit="1" customWidth="1"/>
    <col min="3" max="3" width="4.5703125" bestFit="1" customWidth="1"/>
    <col min="4" max="4" width="7.5703125" bestFit="1" customWidth="1"/>
    <col min="5" max="5" width="63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334</v>
      </c>
      <c r="G1" t="s">
        <v>340</v>
      </c>
      <c r="H1" t="s">
        <v>335</v>
      </c>
      <c r="I1" t="s">
        <v>339</v>
      </c>
    </row>
    <row r="2" spans="1:10" x14ac:dyDescent="0.25">
      <c r="A2">
        <v>4</v>
      </c>
      <c r="B2" s="1" t="s">
        <v>6</v>
      </c>
      <c r="C2" s="1" t="s">
        <v>7</v>
      </c>
      <c r="D2" s="1" t="s">
        <v>8</v>
      </c>
      <c r="E2" s="1" t="s">
        <v>16</v>
      </c>
      <c r="F2" t="str">
        <f>"["&amp;E2&amp;"]"</f>
        <v>[Código da Unidade, cfe. Tabela de Unidades]</v>
      </c>
      <c r="J2" t="str">
        <f>"LEFT(CAST("&amp;H2&amp;"."&amp;I2&amp;" AS "&amp;G2&amp;"), "&amp;A2*1&amp;") AS "&amp;F2&amp;","</f>
        <v>LEFT(CAST(. AS ), 4) AS [Código da Unidade, cfe. Tabela de Unidades],</v>
      </c>
    </row>
    <row r="3" spans="1:10" x14ac:dyDescent="0.25">
      <c r="A3">
        <v>8</v>
      </c>
      <c r="B3" s="1" t="s">
        <v>17</v>
      </c>
      <c r="C3" s="1" t="s">
        <v>7</v>
      </c>
      <c r="D3" s="1" t="s">
        <v>8</v>
      </c>
      <c r="E3" s="1" t="s">
        <v>18</v>
      </c>
    </row>
    <row r="4" spans="1:10" x14ac:dyDescent="0.25">
      <c r="A4">
        <v>8</v>
      </c>
      <c r="B4" s="1" t="s">
        <v>2</v>
      </c>
      <c r="C4" s="1" t="s">
        <v>7</v>
      </c>
      <c r="D4" s="1" t="s">
        <v>8</v>
      </c>
      <c r="E4" s="1" t="s">
        <v>262</v>
      </c>
    </row>
    <row r="5" spans="1:10" x14ac:dyDescent="0.25">
      <c r="A5">
        <v>4</v>
      </c>
      <c r="B5" s="1" t="s">
        <v>6</v>
      </c>
      <c r="C5" s="1" t="s">
        <v>7</v>
      </c>
      <c r="D5" s="1" t="s">
        <v>8</v>
      </c>
      <c r="E5" s="1" t="s">
        <v>263</v>
      </c>
    </row>
    <row r="6" spans="1:10" x14ac:dyDescent="0.25">
      <c r="A6">
        <v>4</v>
      </c>
      <c r="B6" s="1" t="s">
        <v>6</v>
      </c>
      <c r="C6" s="1" t="s">
        <v>7</v>
      </c>
      <c r="D6" s="1" t="s">
        <v>8</v>
      </c>
      <c r="E6" s="1" t="s">
        <v>264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C37CB-E578-416A-8417-435318972F92}">
  <dimension ref="A1:J20"/>
  <sheetViews>
    <sheetView workbookViewId="0">
      <selection activeCell="E4" sqref="E4"/>
    </sheetView>
  </sheetViews>
  <sheetFormatPr defaultRowHeight="15" x14ac:dyDescent="0.25"/>
  <cols>
    <col min="1" max="1" width="6.140625" bestFit="1" customWidth="1"/>
    <col min="2" max="2" width="4.28515625" bestFit="1" customWidth="1"/>
    <col min="3" max="3" width="4.5703125" bestFit="1" customWidth="1"/>
    <col min="4" max="4" width="7.5703125" bestFit="1" customWidth="1"/>
    <col min="5" max="5" width="40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334</v>
      </c>
      <c r="G1" t="s">
        <v>340</v>
      </c>
      <c r="H1" t="s">
        <v>335</v>
      </c>
      <c r="I1" t="s">
        <v>339</v>
      </c>
    </row>
    <row r="2" spans="1:10" x14ac:dyDescent="0.25">
      <c r="A2">
        <v>4</v>
      </c>
      <c r="B2" s="1" t="s">
        <v>6</v>
      </c>
      <c r="D2" s="1" t="s">
        <v>8</v>
      </c>
      <c r="E2" s="1" t="s">
        <v>16</v>
      </c>
      <c r="F2" t="str">
        <f>"["&amp;E2&amp;"]"</f>
        <v>[Código da Unidade, cfe. Tabela de Unidades]</v>
      </c>
      <c r="J2" t="str">
        <f>"LEFT(CAST("&amp;H2&amp;"."&amp;I2&amp;" AS "&amp;G2&amp;"), "&amp;A2*1&amp;") AS "&amp;F2&amp;","</f>
        <v>LEFT(CAST(. AS ), 4) AS [Código da Unidade, cfe. Tabela de Unidades],</v>
      </c>
    </row>
    <row r="3" spans="1:10" x14ac:dyDescent="0.25">
      <c r="A3">
        <v>8</v>
      </c>
      <c r="B3" s="1" t="s">
        <v>17</v>
      </c>
      <c r="D3" s="1" t="s">
        <v>8</v>
      </c>
      <c r="E3" s="1" t="s">
        <v>18</v>
      </c>
    </row>
    <row r="4" spans="1:10" x14ac:dyDescent="0.25">
      <c r="A4">
        <v>8</v>
      </c>
      <c r="B4" s="1" t="s">
        <v>2</v>
      </c>
      <c r="D4" s="1" t="s">
        <v>8</v>
      </c>
      <c r="E4" s="1" t="s">
        <v>247</v>
      </c>
    </row>
    <row r="5" spans="1:10" x14ac:dyDescent="0.25">
      <c r="A5">
        <v>1</v>
      </c>
      <c r="B5" s="1" t="s">
        <v>6</v>
      </c>
      <c r="D5" s="1" t="s">
        <v>8</v>
      </c>
      <c r="E5" s="1"/>
    </row>
    <row r="6" spans="1:10" x14ac:dyDescent="0.25">
      <c r="B6" s="1" t="s">
        <v>7</v>
      </c>
      <c r="D6" s="1" t="s">
        <v>7</v>
      </c>
      <c r="E6" s="1"/>
    </row>
    <row r="7" spans="1:10" x14ac:dyDescent="0.25">
      <c r="B7" s="1" t="s">
        <v>7</v>
      </c>
      <c r="D7" s="1" t="s">
        <v>7</v>
      </c>
      <c r="E7" s="1"/>
    </row>
    <row r="8" spans="1:10" x14ac:dyDescent="0.25">
      <c r="B8" s="1" t="s">
        <v>7</v>
      </c>
      <c r="D8" s="1" t="s">
        <v>7</v>
      </c>
      <c r="E8" s="1"/>
    </row>
    <row r="9" spans="1:10" x14ac:dyDescent="0.25">
      <c r="B9" s="1" t="s">
        <v>7</v>
      </c>
      <c r="D9" s="1" t="s">
        <v>7</v>
      </c>
      <c r="E9" s="1"/>
    </row>
    <row r="10" spans="1:10" x14ac:dyDescent="0.25">
      <c r="B10" s="1" t="s">
        <v>7</v>
      </c>
      <c r="D10" s="1" t="s">
        <v>7</v>
      </c>
      <c r="E10" s="1"/>
    </row>
    <row r="11" spans="1:10" x14ac:dyDescent="0.25">
      <c r="B11" s="1" t="s">
        <v>7</v>
      </c>
      <c r="D11" s="1" t="s">
        <v>7</v>
      </c>
      <c r="E11" s="1"/>
    </row>
    <row r="12" spans="1:10" x14ac:dyDescent="0.25">
      <c r="B12" s="1" t="s">
        <v>7</v>
      </c>
      <c r="D12" s="1" t="s">
        <v>7</v>
      </c>
      <c r="E12" s="1"/>
    </row>
    <row r="13" spans="1:10" x14ac:dyDescent="0.25">
      <c r="A13">
        <v>11</v>
      </c>
      <c r="B13" s="1" t="s">
        <v>17</v>
      </c>
      <c r="C13">
        <v>2</v>
      </c>
      <c r="D13" s="1" t="s">
        <v>8</v>
      </c>
      <c r="E13" s="1"/>
    </row>
    <row r="14" spans="1:10" x14ac:dyDescent="0.25">
      <c r="A14">
        <v>5</v>
      </c>
      <c r="B14" s="1" t="s">
        <v>17</v>
      </c>
      <c r="C14">
        <v>2</v>
      </c>
      <c r="D14" s="1" t="s">
        <v>8</v>
      </c>
      <c r="E14" s="1"/>
    </row>
    <row r="15" spans="1:10" x14ac:dyDescent="0.25">
      <c r="A15">
        <v>8</v>
      </c>
      <c r="B15" s="1" t="s">
        <v>6</v>
      </c>
      <c r="D15" s="1" t="s">
        <v>8</v>
      </c>
      <c r="E15" s="1"/>
    </row>
    <row r="16" spans="1:10" x14ac:dyDescent="0.25">
      <c r="A16">
        <v>2</v>
      </c>
      <c r="B16" s="1" t="s">
        <v>6</v>
      </c>
      <c r="D16" s="1" t="s">
        <v>32</v>
      </c>
      <c r="E16" s="1"/>
    </row>
    <row r="17" spans="1:5" x14ac:dyDescent="0.25">
      <c r="A17">
        <v>1</v>
      </c>
      <c r="B17" s="1" t="s">
        <v>6</v>
      </c>
      <c r="D17" s="1" t="s">
        <v>8</v>
      </c>
      <c r="E17" s="1"/>
    </row>
    <row r="18" spans="1:5" x14ac:dyDescent="0.25">
      <c r="A18">
        <v>11</v>
      </c>
      <c r="B18" s="1" t="s">
        <v>17</v>
      </c>
      <c r="D18" s="1" t="s">
        <v>8</v>
      </c>
      <c r="E18" s="1" t="s">
        <v>261</v>
      </c>
    </row>
    <row r="19" spans="1:5" x14ac:dyDescent="0.25">
      <c r="A19">
        <v>5</v>
      </c>
      <c r="B19" s="1" t="s">
        <v>17</v>
      </c>
      <c r="D19" s="1" t="s">
        <v>8</v>
      </c>
      <c r="E19" s="1" t="s">
        <v>261</v>
      </c>
    </row>
    <row r="20" spans="1:5" x14ac:dyDescent="0.25">
      <c r="A20">
        <v>8</v>
      </c>
      <c r="B20" s="1" t="s">
        <v>17</v>
      </c>
      <c r="D20" s="1" t="s">
        <v>8</v>
      </c>
      <c r="E20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70CE6-4198-4793-94CE-A9D0482C037B}">
  <sheetPr>
    <tabColor rgb="FFFFFF00"/>
  </sheetPr>
  <dimension ref="A1:J9"/>
  <sheetViews>
    <sheetView workbookViewId="0">
      <selection activeCell="F2" sqref="F2"/>
    </sheetView>
  </sheetViews>
  <sheetFormatPr defaultRowHeight="15" x14ac:dyDescent="0.25"/>
  <cols>
    <col min="1" max="1" width="6.140625" bestFit="1" customWidth="1"/>
    <col min="2" max="2" width="4.28515625" bestFit="1" customWidth="1"/>
    <col min="3" max="3" width="4.5703125" bestFit="1" customWidth="1"/>
    <col min="4" max="4" width="7.5703125" bestFit="1" customWidth="1"/>
    <col min="5" max="5" width="40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334</v>
      </c>
      <c r="G1" t="s">
        <v>340</v>
      </c>
      <c r="H1" t="s">
        <v>337</v>
      </c>
      <c r="I1" t="s">
        <v>335</v>
      </c>
      <c r="J1" t="s">
        <v>339</v>
      </c>
    </row>
    <row r="2" spans="1:10" x14ac:dyDescent="0.25">
      <c r="A2">
        <v>4</v>
      </c>
      <c r="B2" s="1" t="s">
        <v>6</v>
      </c>
      <c r="D2" s="1" t="s">
        <v>8</v>
      </c>
      <c r="E2" s="1" t="s">
        <v>16</v>
      </c>
      <c r="F2" t="str">
        <f>"["&amp;E2&amp;"]"</f>
        <v>[Código da Unidade, cfe. Tabela de Unidades]</v>
      </c>
      <c r="G2" t="s">
        <v>341</v>
      </c>
      <c r="H2" s="2" t="str">
        <f>"'VALIDAR"</f>
        <v>'VALIDAR</v>
      </c>
      <c r="I2" s="2" t="str">
        <f>"VALIDAR'"</f>
        <v>VALIDAR'</v>
      </c>
      <c r="J2" t="str">
        <f>"LEFT(CAST("&amp;H2&amp;"."&amp;I2&amp;" AS "&amp;G2&amp;"), "&amp;A2*1&amp;") AS "&amp;F2&amp;","</f>
        <v>LEFT(CAST('VALIDAR.VALIDAR' AS VARCHAR), 4) AS [Código da Unidade, cfe. Tabela de Unidades],</v>
      </c>
    </row>
    <row r="3" spans="1:10" x14ac:dyDescent="0.25">
      <c r="A3">
        <v>8</v>
      </c>
      <c r="B3" s="1" t="s">
        <v>17</v>
      </c>
      <c r="D3" s="1" t="s">
        <v>8</v>
      </c>
      <c r="E3" s="1" t="s">
        <v>18</v>
      </c>
      <c r="F3" t="str">
        <f t="shared" ref="F3:F9" si="0">"["&amp;E3&amp;"]"</f>
        <v>[Código do Contrato]</v>
      </c>
      <c r="G3" t="s">
        <v>341</v>
      </c>
      <c r="H3" s="2" t="str">
        <f>"'VALIDAR"</f>
        <v>'VALIDAR</v>
      </c>
      <c r="I3" s="2" t="str">
        <f>"VALIDAR'"</f>
        <v>VALIDAR'</v>
      </c>
      <c r="J3" t="str">
        <f t="shared" ref="J3:J9" si="1">"LEFT(CAST("&amp;H3&amp;"."&amp;I3&amp;" AS "&amp;G3&amp;"), "&amp;A3*1&amp;") AS "&amp;F3&amp;","</f>
        <v>LEFT(CAST('VALIDAR.VALIDAR' AS VARCHAR), 8) AS [Código do Contrato],</v>
      </c>
    </row>
    <row r="4" spans="1:10" x14ac:dyDescent="0.25">
      <c r="A4">
        <v>8</v>
      </c>
      <c r="B4" s="1" t="s">
        <v>2</v>
      </c>
      <c r="D4" s="1" t="s">
        <v>8</v>
      </c>
      <c r="E4" s="1" t="s">
        <v>255</v>
      </c>
      <c r="F4" t="str">
        <f t="shared" si="0"/>
        <v>[Data de Início de Gozo das Férias]</v>
      </c>
      <c r="G4" t="s">
        <v>349</v>
      </c>
      <c r="H4" t="s">
        <v>346</v>
      </c>
      <c r="I4" t="s">
        <v>351</v>
      </c>
      <c r="J4" t="str">
        <f t="shared" si="1"/>
        <v>LEFT(CAST(PFUFERIASPER.DATAINICIO AS DATE), 8) AS [Data de Início de Gozo das Férias],</v>
      </c>
    </row>
    <row r="5" spans="1:10" x14ac:dyDescent="0.25">
      <c r="A5">
        <v>8</v>
      </c>
      <c r="B5" s="1" t="s">
        <v>2</v>
      </c>
      <c r="D5" s="1" t="s">
        <v>8</v>
      </c>
      <c r="E5" s="1" t="s">
        <v>256</v>
      </c>
      <c r="F5" t="str">
        <f t="shared" si="0"/>
        <v>[Data de Término de Gozo das Férias]</v>
      </c>
      <c r="G5" t="s">
        <v>349</v>
      </c>
      <c r="H5" t="s">
        <v>346</v>
      </c>
      <c r="I5" t="s">
        <v>352</v>
      </c>
      <c r="J5" t="str">
        <f t="shared" si="1"/>
        <v>LEFT(CAST(PFUFERIASPER.DATAFIM AS DATE), 8) AS [Data de Término de Gozo das Férias],</v>
      </c>
    </row>
    <row r="6" spans="1:10" x14ac:dyDescent="0.25">
      <c r="A6">
        <v>8</v>
      </c>
      <c r="B6" s="1" t="s">
        <v>2</v>
      </c>
      <c r="D6" s="1" t="s">
        <v>8</v>
      </c>
      <c r="E6" s="1" t="s">
        <v>257</v>
      </c>
      <c r="F6" t="str">
        <f t="shared" si="0"/>
        <v>[Data de Início do Período Aquisitivo]</v>
      </c>
      <c r="G6" t="s">
        <v>349</v>
      </c>
      <c r="H6" t="s">
        <v>347</v>
      </c>
      <c r="I6" t="s">
        <v>355</v>
      </c>
      <c r="J6" t="str">
        <f t="shared" si="1"/>
        <v>LEFT(CAST(PFUFERIAS.INICIOPERAQUIS AS DATE), 8) AS [Data de Início do Período Aquisitivo],</v>
      </c>
    </row>
    <row r="7" spans="1:10" x14ac:dyDescent="0.25">
      <c r="A7">
        <v>8</v>
      </c>
      <c r="B7" s="1" t="s">
        <v>2</v>
      </c>
      <c r="D7" s="1" t="s">
        <v>8</v>
      </c>
      <c r="E7" s="1" t="s">
        <v>258</v>
      </c>
      <c r="F7" t="str">
        <f t="shared" si="0"/>
        <v>[Data de Término do Período Aquisitivo]</v>
      </c>
      <c r="G7" t="s">
        <v>349</v>
      </c>
      <c r="H7" t="s">
        <v>347</v>
      </c>
      <c r="I7" t="s">
        <v>356</v>
      </c>
      <c r="J7" t="str">
        <f t="shared" si="1"/>
        <v>LEFT(CAST(PFUFERIAS.FIMPERAQUIS AS DATE), 8) AS [Data de Término do Período Aquisitivo],</v>
      </c>
    </row>
    <row r="8" spans="1:10" x14ac:dyDescent="0.25">
      <c r="A8">
        <v>4</v>
      </c>
      <c r="B8" s="1" t="s">
        <v>17</v>
      </c>
      <c r="C8">
        <v>2</v>
      </c>
      <c r="D8" s="1" t="s">
        <v>8</v>
      </c>
      <c r="E8" s="1" t="s">
        <v>259</v>
      </c>
      <c r="F8" t="str">
        <f t="shared" si="0"/>
        <v>[Dias de Férias Cedidos]</v>
      </c>
      <c r="G8" t="s">
        <v>350</v>
      </c>
      <c r="H8" t="s">
        <v>346</v>
      </c>
      <c r="I8" t="s">
        <v>354</v>
      </c>
      <c r="J8" t="str">
        <f t="shared" si="1"/>
        <v>LEFT(CAST(PFUFERIASPER.NRODIASFERIAS AS DECIMAL(10,2)), 4) AS [Dias de Férias Cedidos],</v>
      </c>
    </row>
    <row r="9" spans="1:10" x14ac:dyDescent="0.25">
      <c r="A9">
        <v>4</v>
      </c>
      <c r="B9" s="1" t="s">
        <v>17</v>
      </c>
      <c r="C9">
        <v>2</v>
      </c>
      <c r="D9" s="1" t="s">
        <v>8</v>
      </c>
      <c r="E9" s="1" t="s">
        <v>260</v>
      </c>
      <c r="F9" t="str">
        <f t="shared" si="0"/>
        <v>[Dias de Abono Cedidos]</v>
      </c>
      <c r="G9" t="s">
        <v>350</v>
      </c>
      <c r="H9" t="s">
        <v>346</v>
      </c>
      <c r="I9" t="s">
        <v>353</v>
      </c>
      <c r="J9" t="str">
        <f t="shared" si="1"/>
        <v>LEFT(CAST(PFUFERIASPER.NRODIASABONO AS DECIMAL(10,2)), 4) AS [Dias de Abono Cedidos],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3E3C-CE3C-4636-8A24-6E9CA160D619}">
  <dimension ref="A1:J74"/>
  <sheetViews>
    <sheetView topLeftCell="A12" workbookViewId="0">
      <selection activeCell="E26" sqref="E26"/>
    </sheetView>
  </sheetViews>
  <sheetFormatPr defaultRowHeight="15" x14ac:dyDescent="0.25"/>
  <cols>
    <col min="1" max="1" width="6.140625" bestFit="1" customWidth="1"/>
    <col min="2" max="2" width="4.28515625" bestFit="1" customWidth="1"/>
    <col min="3" max="3" width="4.5703125" bestFit="1" customWidth="1"/>
    <col min="4" max="4" width="7.5703125" bestFit="1" customWidth="1"/>
    <col min="5" max="5" width="58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334</v>
      </c>
      <c r="G1" t="s">
        <v>340</v>
      </c>
      <c r="H1" t="s">
        <v>335</v>
      </c>
      <c r="I1" t="s">
        <v>339</v>
      </c>
    </row>
    <row r="2" spans="1:10" x14ac:dyDescent="0.25">
      <c r="A2">
        <v>4</v>
      </c>
      <c r="B2" s="1" t="s">
        <v>6</v>
      </c>
      <c r="C2" s="1" t="s">
        <v>7</v>
      </c>
      <c r="D2" s="1" t="s">
        <v>8</v>
      </c>
      <c r="E2" s="1" t="s">
        <v>14</v>
      </c>
      <c r="F2" t="str">
        <f>"["&amp;E2&amp;"]"</f>
        <v>[Código da Empresa, cfe. Tabela de Empresas]</v>
      </c>
      <c r="J2" t="str">
        <f>"LEFT(CAST("&amp;H2&amp;"."&amp;I2&amp;" AS "&amp;G2&amp;"), "&amp;A2*1&amp;") AS "&amp;F2&amp;","</f>
        <v>LEFT(CAST(. AS ), 4) AS [Código da Empresa, cfe. Tabela de Empresas],</v>
      </c>
    </row>
    <row r="3" spans="1:10" x14ac:dyDescent="0.25">
      <c r="A3">
        <v>8</v>
      </c>
      <c r="B3" s="1" t="s">
        <v>17</v>
      </c>
      <c r="C3" s="1" t="s">
        <v>7</v>
      </c>
      <c r="D3" s="1" t="s">
        <v>8</v>
      </c>
      <c r="E3" s="1" t="s">
        <v>121</v>
      </c>
      <c r="F3" t="str">
        <f t="shared" ref="F3:F9" si="0">"["&amp;E3&amp;"]"</f>
        <v>[Código da Pessoa]</v>
      </c>
    </row>
    <row r="4" spans="1:10" x14ac:dyDescent="0.25">
      <c r="A4">
        <v>2</v>
      </c>
      <c r="B4" s="1" t="s">
        <v>17</v>
      </c>
      <c r="C4" s="1" t="s">
        <v>7</v>
      </c>
      <c r="D4" s="1" t="s">
        <v>8</v>
      </c>
      <c r="E4" s="1" t="s">
        <v>265</v>
      </c>
      <c r="F4" t="str">
        <f t="shared" si="0"/>
        <v>[Familiar (Número Sequencial), iniciando em “01” a cada Pessoa]</v>
      </c>
    </row>
    <row r="5" spans="1:10" x14ac:dyDescent="0.25">
      <c r="A5">
        <v>40</v>
      </c>
      <c r="B5" s="1" t="s">
        <v>6</v>
      </c>
      <c r="C5" s="1" t="s">
        <v>7</v>
      </c>
      <c r="D5" s="1" t="s">
        <v>8</v>
      </c>
      <c r="E5" s="1" t="s">
        <v>266</v>
      </c>
      <c r="F5" t="str">
        <f t="shared" si="0"/>
        <v>[Nome do Familiar]</v>
      </c>
    </row>
    <row r="6" spans="1:10" x14ac:dyDescent="0.25">
      <c r="A6">
        <v>8</v>
      </c>
      <c r="B6" s="1" t="s">
        <v>2</v>
      </c>
      <c r="C6" s="1" t="s">
        <v>7</v>
      </c>
      <c r="D6" s="1" t="s">
        <v>8</v>
      </c>
      <c r="E6" s="1" t="s">
        <v>125</v>
      </c>
      <c r="F6" t="str">
        <f t="shared" si="0"/>
        <v>[Data de Nascimento]</v>
      </c>
    </row>
    <row r="7" spans="1:10" x14ac:dyDescent="0.25">
      <c r="A7">
        <v>20</v>
      </c>
      <c r="B7" s="1" t="s">
        <v>6</v>
      </c>
      <c r="C7" s="1" t="s">
        <v>7</v>
      </c>
      <c r="D7" s="1" t="s">
        <v>32</v>
      </c>
      <c r="E7" s="1" t="s">
        <v>267</v>
      </c>
      <c r="F7" t="str">
        <f t="shared" si="0"/>
        <v>[Local de Nascimento]</v>
      </c>
    </row>
    <row r="8" spans="1:10" x14ac:dyDescent="0.25">
      <c r="A8">
        <v>2</v>
      </c>
      <c r="B8" s="1" t="s">
        <v>6</v>
      </c>
      <c r="C8" s="1" t="s">
        <v>7</v>
      </c>
      <c r="D8" s="1" t="s">
        <v>32</v>
      </c>
      <c r="E8" s="1" t="s">
        <v>127</v>
      </c>
      <c r="F8" t="str">
        <f t="shared" si="0"/>
        <v>[UF do Nascimento]</v>
      </c>
    </row>
    <row r="9" spans="1:10" x14ac:dyDescent="0.25">
      <c r="A9">
        <v>1</v>
      </c>
      <c r="B9" s="1" t="s">
        <v>6</v>
      </c>
      <c r="C9" s="1" t="s">
        <v>7</v>
      </c>
      <c r="D9" s="1" t="s">
        <v>8</v>
      </c>
      <c r="E9" s="1" t="s">
        <v>128</v>
      </c>
      <c r="F9" t="s">
        <v>345</v>
      </c>
    </row>
    <row r="10" spans="1:10" x14ac:dyDescent="0.25">
      <c r="B10" s="1" t="s">
        <v>7</v>
      </c>
      <c r="C10" s="1" t="s">
        <v>7</v>
      </c>
      <c r="D10" s="1" t="s">
        <v>7</v>
      </c>
      <c r="E10" s="1" t="s">
        <v>129</v>
      </c>
    </row>
    <row r="11" spans="1:10" x14ac:dyDescent="0.25">
      <c r="B11" s="1" t="s">
        <v>7</v>
      </c>
      <c r="C11" s="1" t="s">
        <v>7</v>
      </c>
      <c r="D11" s="1" t="s">
        <v>7</v>
      </c>
      <c r="E11" s="1" t="s">
        <v>130</v>
      </c>
    </row>
    <row r="12" spans="1:10" x14ac:dyDescent="0.25">
      <c r="A12">
        <v>1</v>
      </c>
      <c r="B12" s="1" t="s">
        <v>6</v>
      </c>
      <c r="C12" s="1" t="s">
        <v>7</v>
      </c>
      <c r="D12" s="1" t="s">
        <v>8</v>
      </c>
      <c r="E12" s="1" t="s">
        <v>268</v>
      </c>
      <c r="F12" t="str">
        <f t="shared" ref="F12" si="1">"["&amp;E12&amp;"]"</f>
        <v>[Grau de Parentesco:]</v>
      </c>
    </row>
    <row r="13" spans="1:10" x14ac:dyDescent="0.25">
      <c r="B13" s="1" t="s">
        <v>7</v>
      </c>
      <c r="C13" s="1" t="s">
        <v>7</v>
      </c>
      <c r="D13" s="1" t="s">
        <v>7</v>
      </c>
      <c r="E13" s="1" t="s">
        <v>269</v>
      </c>
    </row>
    <row r="14" spans="1:10" x14ac:dyDescent="0.25">
      <c r="B14" s="1" t="s">
        <v>7</v>
      </c>
      <c r="C14" s="1" t="s">
        <v>7</v>
      </c>
      <c r="D14" s="1" t="s">
        <v>7</v>
      </c>
      <c r="E14" s="1" t="s">
        <v>270</v>
      </c>
    </row>
    <row r="15" spans="1:10" x14ac:dyDescent="0.25">
      <c r="B15" s="1" t="s">
        <v>7</v>
      </c>
      <c r="C15" s="1" t="s">
        <v>7</v>
      </c>
      <c r="D15" s="1" t="s">
        <v>7</v>
      </c>
      <c r="E15" s="1" t="s">
        <v>271</v>
      </c>
    </row>
    <row r="16" spans="1:10" x14ac:dyDescent="0.25">
      <c r="B16" s="1" t="s">
        <v>7</v>
      </c>
      <c r="C16" s="1" t="s">
        <v>7</v>
      </c>
      <c r="D16" s="1" t="s">
        <v>7</v>
      </c>
      <c r="E16" s="1" t="s">
        <v>272</v>
      </c>
    </row>
    <row r="17" spans="1:6" x14ac:dyDescent="0.25">
      <c r="B17" s="1" t="s">
        <v>7</v>
      </c>
      <c r="C17" s="1" t="s">
        <v>7</v>
      </c>
      <c r="D17" s="1" t="s">
        <v>7</v>
      </c>
      <c r="E17" s="1" t="s">
        <v>273</v>
      </c>
    </row>
    <row r="18" spans="1:6" x14ac:dyDescent="0.25">
      <c r="B18" s="1" t="s">
        <v>7</v>
      </c>
      <c r="C18" s="1" t="s">
        <v>7</v>
      </c>
      <c r="D18" s="1" t="s">
        <v>7</v>
      </c>
      <c r="E18" s="1" t="s">
        <v>274</v>
      </c>
    </row>
    <row r="19" spans="1:6" x14ac:dyDescent="0.25">
      <c r="B19" s="1" t="s">
        <v>7</v>
      </c>
      <c r="C19" s="1" t="s">
        <v>7</v>
      </c>
      <c r="D19" s="1" t="s">
        <v>7</v>
      </c>
      <c r="E19" s="1" t="s">
        <v>275</v>
      </c>
    </row>
    <row r="20" spans="1:6" x14ac:dyDescent="0.25">
      <c r="B20" s="1" t="s">
        <v>7</v>
      </c>
      <c r="C20" s="1" t="s">
        <v>7</v>
      </c>
      <c r="D20" s="1" t="s">
        <v>7</v>
      </c>
      <c r="E20" s="1" t="s">
        <v>276</v>
      </c>
    </row>
    <row r="21" spans="1:6" x14ac:dyDescent="0.25">
      <c r="B21" s="1" t="s">
        <v>7</v>
      </c>
      <c r="C21" s="1" t="s">
        <v>7</v>
      </c>
      <c r="D21" s="1" t="s">
        <v>7</v>
      </c>
      <c r="E21" s="1" t="s">
        <v>277</v>
      </c>
    </row>
    <row r="22" spans="1:6" x14ac:dyDescent="0.25">
      <c r="B22" s="1" t="s">
        <v>7</v>
      </c>
      <c r="C22" s="1" t="s">
        <v>7</v>
      </c>
      <c r="D22" s="1" t="s">
        <v>7</v>
      </c>
      <c r="E22" s="1" t="s">
        <v>278</v>
      </c>
    </row>
    <row r="23" spans="1:6" x14ac:dyDescent="0.25">
      <c r="B23" s="1" t="s">
        <v>7</v>
      </c>
      <c r="C23" s="1" t="s">
        <v>7</v>
      </c>
      <c r="D23" s="1" t="s">
        <v>7</v>
      </c>
      <c r="E23" s="1" t="s">
        <v>279</v>
      </c>
    </row>
    <row r="24" spans="1:6" x14ac:dyDescent="0.25">
      <c r="B24" s="1" t="s">
        <v>7</v>
      </c>
      <c r="C24" s="1" t="s">
        <v>7</v>
      </c>
      <c r="D24" s="1" t="s">
        <v>7</v>
      </c>
      <c r="E24" s="1" t="s">
        <v>280</v>
      </c>
    </row>
    <row r="25" spans="1:6" x14ac:dyDescent="0.25">
      <c r="B25" s="1" t="s">
        <v>7</v>
      </c>
      <c r="C25" s="1" t="s">
        <v>7</v>
      </c>
      <c r="D25" s="1" t="s">
        <v>7</v>
      </c>
      <c r="E25" s="1" t="s">
        <v>281</v>
      </c>
    </row>
    <row r="26" spans="1:6" x14ac:dyDescent="0.25">
      <c r="A26">
        <v>1</v>
      </c>
      <c r="B26" s="1" t="s">
        <v>6</v>
      </c>
      <c r="C26" s="1" t="s">
        <v>7</v>
      </c>
      <c r="D26" s="1" t="s">
        <v>8</v>
      </c>
      <c r="E26" s="1" t="s">
        <v>282</v>
      </c>
      <c r="F26" t="str">
        <f t="shared" ref="F26" si="2">"["&amp;E26&amp;"]"</f>
        <v>[Grau de Dependência:]</v>
      </c>
    </row>
    <row r="27" spans="1:6" x14ac:dyDescent="0.25">
      <c r="B27" s="1" t="s">
        <v>7</v>
      </c>
      <c r="C27" s="1" t="s">
        <v>7</v>
      </c>
      <c r="D27" s="1" t="s">
        <v>7</v>
      </c>
      <c r="E27" s="1" t="s">
        <v>283</v>
      </c>
    </row>
    <row r="28" spans="1:6" x14ac:dyDescent="0.25">
      <c r="B28" s="1" t="s">
        <v>7</v>
      </c>
      <c r="C28" s="1" t="s">
        <v>7</v>
      </c>
      <c r="D28" s="1" t="s">
        <v>7</v>
      </c>
      <c r="E28" s="1" t="s">
        <v>284</v>
      </c>
    </row>
    <row r="29" spans="1:6" x14ac:dyDescent="0.25">
      <c r="B29" s="1" t="s">
        <v>7</v>
      </c>
      <c r="C29" s="1" t="s">
        <v>7</v>
      </c>
      <c r="D29" s="1" t="s">
        <v>7</v>
      </c>
      <c r="E29" s="1" t="s">
        <v>285</v>
      </c>
    </row>
    <row r="30" spans="1:6" x14ac:dyDescent="0.25">
      <c r="B30" s="1" t="s">
        <v>7</v>
      </c>
      <c r="C30" s="1" t="s">
        <v>7</v>
      </c>
      <c r="D30" s="1" t="s">
        <v>7</v>
      </c>
      <c r="E30" s="1" t="s">
        <v>286</v>
      </c>
    </row>
    <row r="31" spans="1:6" x14ac:dyDescent="0.25">
      <c r="B31" s="1" t="s">
        <v>7</v>
      </c>
      <c r="C31" s="1" t="s">
        <v>7</v>
      </c>
      <c r="D31" s="1" t="s">
        <v>7</v>
      </c>
      <c r="E31" s="1" t="s">
        <v>287</v>
      </c>
    </row>
    <row r="32" spans="1:6" x14ac:dyDescent="0.25">
      <c r="B32" s="1" t="s">
        <v>7</v>
      </c>
      <c r="C32" s="1" t="s">
        <v>7</v>
      </c>
      <c r="D32" s="1" t="s">
        <v>7</v>
      </c>
      <c r="E32" s="1" t="s">
        <v>288</v>
      </c>
    </row>
    <row r="33" spans="1:6" x14ac:dyDescent="0.25">
      <c r="B33" s="1" t="s">
        <v>7</v>
      </c>
      <c r="C33" s="1" t="s">
        <v>7</v>
      </c>
      <c r="D33" s="1" t="s">
        <v>7</v>
      </c>
      <c r="E33" s="1" t="s">
        <v>289</v>
      </c>
    </row>
    <row r="34" spans="1:6" x14ac:dyDescent="0.25">
      <c r="A34">
        <v>1</v>
      </c>
      <c r="B34" s="1" t="s">
        <v>6</v>
      </c>
      <c r="C34" s="1" t="s">
        <v>7</v>
      </c>
      <c r="D34" s="1" t="s">
        <v>8</v>
      </c>
      <c r="E34" s="1" t="s">
        <v>290</v>
      </c>
      <c r="F34" t="str">
        <f t="shared" ref="F34" si="3">"["&amp;E34&amp;"]"</f>
        <v>[Dependente para Salário Família:]</v>
      </c>
    </row>
    <row r="35" spans="1:6" x14ac:dyDescent="0.25">
      <c r="B35" s="1" t="s">
        <v>7</v>
      </c>
      <c r="C35" s="1" t="s">
        <v>7</v>
      </c>
      <c r="D35" s="1" t="s">
        <v>7</v>
      </c>
      <c r="E35" s="1" t="s">
        <v>291</v>
      </c>
    </row>
    <row r="36" spans="1:6" x14ac:dyDescent="0.25">
      <c r="B36" s="1" t="s">
        <v>7</v>
      </c>
      <c r="C36" s="1" t="s">
        <v>7</v>
      </c>
      <c r="D36" s="1" t="s">
        <v>7</v>
      </c>
      <c r="E36" s="1" t="s">
        <v>292</v>
      </c>
    </row>
    <row r="37" spans="1:6" x14ac:dyDescent="0.25">
      <c r="A37">
        <v>1</v>
      </c>
      <c r="B37" s="1" t="s">
        <v>6</v>
      </c>
      <c r="C37" s="1" t="s">
        <v>7</v>
      </c>
      <c r="D37" s="1" t="s">
        <v>8</v>
      </c>
      <c r="E37" s="1" t="s">
        <v>293</v>
      </c>
      <c r="F37" t="str">
        <f t="shared" ref="F37" si="4">"["&amp;E37&amp;"]"</f>
        <v>[Dependente para o IRF:]</v>
      </c>
    </row>
    <row r="38" spans="1:6" x14ac:dyDescent="0.25">
      <c r="B38" s="1" t="s">
        <v>7</v>
      </c>
      <c r="C38" s="1" t="s">
        <v>7</v>
      </c>
      <c r="D38" s="1" t="s">
        <v>7</v>
      </c>
      <c r="E38" s="1" t="s">
        <v>291</v>
      </c>
    </row>
    <row r="39" spans="1:6" x14ac:dyDescent="0.25">
      <c r="B39" s="1" t="s">
        <v>7</v>
      </c>
      <c r="C39" s="1" t="s">
        <v>7</v>
      </c>
      <c r="D39" s="1" t="s">
        <v>7</v>
      </c>
      <c r="E39" s="1" t="s">
        <v>292</v>
      </c>
    </row>
    <row r="40" spans="1:6" x14ac:dyDescent="0.25">
      <c r="A40">
        <v>1</v>
      </c>
      <c r="B40" s="1" t="s">
        <v>6</v>
      </c>
      <c r="C40" s="1" t="s">
        <v>7</v>
      </c>
      <c r="D40" s="1" t="s">
        <v>8</v>
      </c>
      <c r="E40" s="1" t="s">
        <v>294</v>
      </c>
      <c r="F40" t="str">
        <f t="shared" ref="F40" si="5">"["&amp;E40&amp;"]"</f>
        <v>[Dependente do Auxílio Creche:]</v>
      </c>
    </row>
    <row r="41" spans="1:6" x14ac:dyDescent="0.25">
      <c r="B41" s="1" t="s">
        <v>7</v>
      </c>
      <c r="C41" s="1" t="s">
        <v>7</v>
      </c>
      <c r="D41" s="1" t="s">
        <v>7</v>
      </c>
      <c r="E41" s="1" t="s">
        <v>291</v>
      </c>
    </row>
    <row r="42" spans="1:6" x14ac:dyDescent="0.25">
      <c r="B42" s="1" t="s">
        <v>7</v>
      </c>
      <c r="C42" s="1" t="s">
        <v>7</v>
      </c>
      <c r="D42" s="1" t="s">
        <v>7</v>
      </c>
      <c r="E42" s="1" t="s">
        <v>292</v>
      </c>
    </row>
    <row r="43" spans="1:6" x14ac:dyDescent="0.25">
      <c r="A43">
        <v>10</v>
      </c>
      <c r="B43" s="1" t="s">
        <v>6</v>
      </c>
      <c r="C43" s="1" t="s">
        <v>7</v>
      </c>
      <c r="D43" s="1" t="s">
        <v>32</v>
      </c>
      <c r="E43" s="1" t="s">
        <v>295</v>
      </c>
      <c r="F43" t="str">
        <f t="shared" ref="F43:F49" si="6">"["&amp;E43&amp;"]"</f>
        <v>[Cartório do Registro de Nascimento]</v>
      </c>
    </row>
    <row r="44" spans="1:6" x14ac:dyDescent="0.25">
      <c r="A44">
        <v>10</v>
      </c>
      <c r="B44" s="1" t="s">
        <v>6</v>
      </c>
      <c r="C44" s="1" t="s">
        <v>7</v>
      </c>
      <c r="D44" s="1" t="s">
        <v>32</v>
      </c>
      <c r="E44" s="1" t="s">
        <v>296</v>
      </c>
      <c r="F44" t="str">
        <f t="shared" si="6"/>
        <v>[Número do Registro de Nascimento]</v>
      </c>
    </row>
    <row r="45" spans="1:6" x14ac:dyDescent="0.25">
      <c r="A45">
        <v>5</v>
      </c>
      <c r="B45" s="1" t="s">
        <v>6</v>
      </c>
      <c r="C45" s="1" t="s">
        <v>7</v>
      </c>
      <c r="D45" s="1" t="s">
        <v>32</v>
      </c>
      <c r="E45" s="1" t="s">
        <v>297</v>
      </c>
      <c r="F45" t="str">
        <f t="shared" si="6"/>
        <v>[Livro do Registro de Nascimento]</v>
      </c>
    </row>
    <row r="46" spans="1:6" x14ac:dyDescent="0.25">
      <c r="A46">
        <v>5</v>
      </c>
      <c r="B46" s="1" t="s">
        <v>6</v>
      </c>
      <c r="C46" s="1" t="s">
        <v>7</v>
      </c>
      <c r="D46" s="1" t="s">
        <v>32</v>
      </c>
      <c r="E46" s="1" t="s">
        <v>298</v>
      </c>
      <c r="F46" t="str">
        <f t="shared" si="6"/>
        <v>[Página do Registro de Nascimento]</v>
      </c>
    </row>
    <row r="47" spans="1:6" x14ac:dyDescent="0.25">
      <c r="A47">
        <v>8</v>
      </c>
      <c r="B47" s="1" t="s">
        <v>2</v>
      </c>
      <c r="C47" s="1" t="s">
        <v>7</v>
      </c>
      <c r="D47" s="1" t="s">
        <v>32</v>
      </c>
      <c r="E47" s="1" t="s">
        <v>299</v>
      </c>
      <c r="F47" t="str">
        <f t="shared" si="6"/>
        <v>[Data da Entrega da Certidão de Nascimento]</v>
      </c>
    </row>
    <row r="48" spans="1:6" x14ac:dyDescent="0.25">
      <c r="A48">
        <v>8</v>
      </c>
      <c r="B48" s="1" t="s">
        <v>2</v>
      </c>
      <c r="C48" s="1" t="s">
        <v>7</v>
      </c>
      <c r="D48" s="1" t="s">
        <v>32</v>
      </c>
      <c r="E48" s="1" t="s">
        <v>300</v>
      </c>
      <c r="F48" t="str">
        <f t="shared" si="6"/>
        <v>[Data da Baixa da Certidão de Nascimento]</v>
      </c>
    </row>
    <row r="49" spans="1:6" x14ac:dyDescent="0.25">
      <c r="A49">
        <v>2</v>
      </c>
      <c r="B49" s="1" t="s">
        <v>6</v>
      </c>
      <c r="C49" s="1" t="s">
        <v>7</v>
      </c>
      <c r="D49" s="1" t="s">
        <v>32</v>
      </c>
      <c r="E49" s="1" t="s">
        <v>169</v>
      </c>
      <c r="F49" t="str">
        <f t="shared" si="6"/>
        <v>[Estado Civil:]</v>
      </c>
    </row>
    <row r="50" spans="1:6" x14ac:dyDescent="0.25">
      <c r="B50" s="1" t="s">
        <v>7</v>
      </c>
      <c r="C50" s="1" t="s">
        <v>7</v>
      </c>
      <c r="D50" s="1" t="s">
        <v>7</v>
      </c>
      <c r="E50" s="1" t="s">
        <v>170</v>
      </c>
    </row>
    <row r="51" spans="1:6" x14ac:dyDescent="0.25">
      <c r="B51" s="1" t="s">
        <v>7</v>
      </c>
      <c r="C51" s="1" t="s">
        <v>7</v>
      </c>
      <c r="D51" s="1" t="s">
        <v>7</v>
      </c>
      <c r="E51" s="1" t="s">
        <v>171</v>
      </c>
    </row>
    <row r="52" spans="1:6" x14ac:dyDescent="0.25">
      <c r="B52" s="1" t="s">
        <v>7</v>
      </c>
      <c r="C52" s="1" t="s">
        <v>7</v>
      </c>
      <c r="D52" s="1" t="s">
        <v>7</v>
      </c>
      <c r="E52" s="1" t="s">
        <v>172</v>
      </c>
    </row>
    <row r="53" spans="1:6" x14ac:dyDescent="0.25">
      <c r="B53" s="1" t="s">
        <v>7</v>
      </c>
      <c r="C53" s="1" t="s">
        <v>7</v>
      </c>
      <c r="D53" s="1" t="s">
        <v>7</v>
      </c>
      <c r="E53" s="1" t="s">
        <v>173</v>
      </c>
    </row>
    <row r="54" spans="1:6" x14ac:dyDescent="0.25">
      <c r="B54" s="1" t="s">
        <v>7</v>
      </c>
      <c r="C54" s="1" t="s">
        <v>7</v>
      </c>
      <c r="D54" s="1" t="s">
        <v>7</v>
      </c>
      <c r="E54" s="1" t="s">
        <v>174</v>
      </c>
    </row>
    <row r="55" spans="1:6" x14ac:dyDescent="0.25">
      <c r="B55" s="1" t="s">
        <v>7</v>
      </c>
      <c r="C55" s="1" t="s">
        <v>7</v>
      </c>
      <c r="D55" s="1" t="s">
        <v>7</v>
      </c>
      <c r="E55" s="1" t="s">
        <v>301</v>
      </c>
    </row>
    <row r="56" spans="1:6" x14ac:dyDescent="0.25">
      <c r="B56" s="1" t="s">
        <v>7</v>
      </c>
      <c r="C56" s="1" t="s">
        <v>7</v>
      </c>
      <c r="D56" s="1" t="s">
        <v>7</v>
      </c>
      <c r="E56" s="1" t="s">
        <v>302</v>
      </c>
    </row>
    <row r="57" spans="1:6" x14ac:dyDescent="0.25">
      <c r="B57" s="1" t="s">
        <v>7</v>
      </c>
      <c r="C57" s="1" t="s">
        <v>7</v>
      </c>
      <c r="D57" s="1" t="s">
        <v>7</v>
      </c>
      <c r="E57" s="1" t="s">
        <v>303</v>
      </c>
    </row>
    <row r="58" spans="1:6" x14ac:dyDescent="0.25">
      <c r="A58">
        <v>11</v>
      </c>
      <c r="B58" s="1" t="s">
        <v>6</v>
      </c>
      <c r="C58" s="1" t="s">
        <v>7</v>
      </c>
      <c r="D58" s="1" t="s">
        <v>32</v>
      </c>
      <c r="E58" s="1" t="s">
        <v>157</v>
      </c>
      <c r="F58" t="str">
        <f t="shared" ref="F58:F59" si="7">"["&amp;E58&amp;"]"</f>
        <v>[CPF]</v>
      </c>
    </row>
    <row r="59" spans="1:6" x14ac:dyDescent="0.25">
      <c r="A59">
        <v>2</v>
      </c>
      <c r="B59" s="1" t="s">
        <v>6</v>
      </c>
      <c r="C59" s="1" t="s">
        <v>7</v>
      </c>
      <c r="D59" s="1" t="s">
        <v>32</v>
      </c>
      <c r="E59" s="1" t="s">
        <v>304</v>
      </c>
      <c r="F59" t="str">
        <f t="shared" si="7"/>
        <v>[Grau de Instrução]</v>
      </c>
    </row>
    <row r="60" spans="1:6" x14ac:dyDescent="0.25">
      <c r="B60" s="1" t="s">
        <v>7</v>
      </c>
      <c r="C60" s="1" t="s">
        <v>7</v>
      </c>
      <c r="D60" s="1" t="s">
        <v>7</v>
      </c>
      <c r="E60" s="1" t="s">
        <v>176</v>
      </c>
    </row>
    <row r="61" spans="1:6" x14ac:dyDescent="0.25">
      <c r="B61" s="1" t="s">
        <v>7</v>
      </c>
      <c r="C61" s="1" t="s">
        <v>7</v>
      </c>
      <c r="D61" s="1" t="s">
        <v>7</v>
      </c>
      <c r="E61" s="1" t="s">
        <v>177</v>
      </c>
    </row>
    <row r="62" spans="1:6" x14ac:dyDescent="0.25">
      <c r="B62" s="1" t="s">
        <v>7</v>
      </c>
      <c r="C62" s="1" t="s">
        <v>7</v>
      </c>
      <c r="D62" s="1" t="s">
        <v>7</v>
      </c>
      <c r="E62" s="1" t="s">
        <v>178</v>
      </c>
    </row>
    <row r="63" spans="1:6" x14ac:dyDescent="0.25">
      <c r="B63" s="1" t="s">
        <v>7</v>
      </c>
      <c r="C63" s="1" t="s">
        <v>7</v>
      </c>
      <c r="D63" s="1" t="s">
        <v>7</v>
      </c>
      <c r="E63" s="1" t="s">
        <v>179</v>
      </c>
    </row>
    <row r="64" spans="1:6" x14ac:dyDescent="0.25">
      <c r="B64" s="1" t="s">
        <v>7</v>
      </c>
      <c r="C64" s="1" t="s">
        <v>7</v>
      </c>
      <c r="D64" s="1" t="s">
        <v>7</v>
      </c>
      <c r="E64" s="1" t="s">
        <v>180</v>
      </c>
    </row>
    <row r="65" spans="1:6" x14ac:dyDescent="0.25">
      <c r="B65" s="1" t="s">
        <v>7</v>
      </c>
      <c r="C65" s="1" t="s">
        <v>7</v>
      </c>
      <c r="D65" s="1" t="s">
        <v>7</v>
      </c>
      <c r="E65" s="1" t="s">
        <v>181</v>
      </c>
    </row>
    <row r="66" spans="1:6" x14ac:dyDescent="0.25">
      <c r="B66" s="1" t="s">
        <v>7</v>
      </c>
      <c r="C66" s="1" t="s">
        <v>7</v>
      </c>
      <c r="D66" s="1" t="s">
        <v>7</v>
      </c>
      <c r="E66" s="1" t="s">
        <v>182</v>
      </c>
    </row>
    <row r="67" spans="1:6" x14ac:dyDescent="0.25">
      <c r="B67" s="1" t="s">
        <v>7</v>
      </c>
      <c r="C67" s="1" t="s">
        <v>7</v>
      </c>
      <c r="D67" s="1" t="s">
        <v>7</v>
      </c>
      <c r="E67" s="1" t="s">
        <v>305</v>
      </c>
    </row>
    <row r="68" spans="1:6" x14ac:dyDescent="0.25">
      <c r="B68" s="1" t="s">
        <v>7</v>
      </c>
      <c r="C68" s="1" t="s">
        <v>7</v>
      </c>
      <c r="D68" s="1" t="s">
        <v>7</v>
      </c>
      <c r="E68" s="1" t="s">
        <v>183</v>
      </c>
    </row>
    <row r="69" spans="1:6" x14ac:dyDescent="0.25">
      <c r="B69" s="1" t="s">
        <v>7</v>
      </c>
      <c r="C69" s="1" t="s">
        <v>7</v>
      </c>
      <c r="D69" s="1" t="s">
        <v>7</v>
      </c>
      <c r="E69" s="1" t="s">
        <v>184</v>
      </c>
    </row>
    <row r="70" spans="1:6" x14ac:dyDescent="0.25">
      <c r="B70" s="1" t="s">
        <v>7</v>
      </c>
      <c r="C70" s="1" t="s">
        <v>7</v>
      </c>
      <c r="D70" s="1" t="s">
        <v>7</v>
      </c>
      <c r="E70" s="1" t="s">
        <v>185</v>
      </c>
    </row>
    <row r="71" spans="1:6" x14ac:dyDescent="0.25">
      <c r="B71" s="1" t="s">
        <v>7</v>
      </c>
      <c r="C71" s="1" t="s">
        <v>7</v>
      </c>
      <c r="D71" s="1" t="s">
        <v>7</v>
      </c>
      <c r="E71" s="1" t="s">
        <v>186</v>
      </c>
    </row>
    <row r="72" spans="1:6" x14ac:dyDescent="0.25">
      <c r="B72" s="1" t="s">
        <v>7</v>
      </c>
      <c r="C72" s="1" t="s">
        <v>7</v>
      </c>
      <c r="D72" s="1" t="s">
        <v>7</v>
      </c>
      <c r="E72" s="1" t="s">
        <v>187</v>
      </c>
    </row>
    <row r="73" spans="1:6" x14ac:dyDescent="0.25">
      <c r="A73">
        <v>20</v>
      </c>
      <c r="B73" s="1" t="s">
        <v>6</v>
      </c>
      <c r="C73" s="1" t="s">
        <v>7</v>
      </c>
      <c r="D73" s="1" t="s">
        <v>32</v>
      </c>
      <c r="E73" s="1" t="s">
        <v>197</v>
      </c>
      <c r="F73" t="str">
        <f t="shared" ref="F73:F74" si="8">"["&amp;E73&amp;"]"</f>
        <v>[Número do Cartão do SUS]</v>
      </c>
    </row>
    <row r="74" spans="1:6" x14ac:dyDescent="0.25">
      <c r="A74">
        <v>70</v>
      </c>
      <c r="B74" s="1" t="s">
        <v>6</v>
      </c>
      <c r="C74" s="1" t="s">
        <v>7</v>
      </c>
      <c r="D74" s="1" t="s">
        <v>32</v>
      </c>
      <c r="E74" s="1" t="s">
        <v>306</v>
      </c>
      <c r="F74" t="str">
        <f t="shared" si="8"/>
        <v>[Nome Completo do Familiar]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40E8F-8216-41D9-9299-C82AA3424FB8}">
  <dimension ref="A1:J144"/>
  <sheetViews>
    <sheetView topLeftCell="B4" workbookViewId="0">
      <selection activeCell="F21" sqref="F21"/>
    </sheetView>
  </sheetViews>
  <sheetFormatPr defaultRowHeight="15" x14ac:dyDescent="0.25"/>
  <cols>
    <col min="1" max="1" width="6.140625" bestFit="1" customWidth="1"/>
    <col min="2" max="2" width="4.28515625" bestFit="1" customWidth="1"/>
    <col min="3" max="3" width="4.5703125" bestFit="1" customWidth="1"/>
    <col min="4" max="4" width="7.5703125" customWidth="1"/>
    <col min="5" max="5" width="95.7109375" customWidth="1"/>
    <col min="6" max="6" width="10" bestFit="1" customWidth="1"/>
    <col min="7" max="7" width="9.5703125" bestFit="1" customWidth="1"/>
    <col min="8" max="8" width="15.5703125" bestFit="1" customWidth="1"/>
    <col min="9" max="9" width="17.7109375" bestFit="1" customWidth="1"/>
    <col min="10" max="10" width="5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342</v>
      </c>
      <c r="F1" t="s">
        <v>334</v>
      </c>
      <c r="G1" t="s">
        <v>340</v>
      </c>
      <c r="H1" t="s">
        <v>337</v>
      </c>
      <c r="I1" t="s">
        <v>335</v>
      </c>
      <c r="J1" t="s">
        <v>339</v>
      </c>
    </row>
    <row r="2" spans="1:10" x14ac:dyDescent="0.25">
      <c r="A2">
        <v>4</v>
      </c>
      <c r="B2" s="1" t="s">
        <v>6</v>
      </c>
      <c r="D2" s="1" t="s">
        <v>8</v>
      </c>
      <c r="E2" s="1" t="s">
        <v>14</v>
      </c>
      <c r="F2" t="str">
        <f>"["&amp;E2&amp;"]"</f>
        <v>[Código da Empresa, cfe. Tabela de Empresas]</v>
      </c>
      <c r="J2" t="str">
        <f>"'' AS "&amp;F2&amp;","</f>
        <v>'' AS [Código da Empresa, cfe. Tabela de Empresas],</v>
      </c>
    </row>
    <row r="3" spans="1:10" x14ac:dyDescent="0.25">
      <c r="A3">
        <v>4</v>
      </c>
      <c r="B3" s="1" t="s">
        <v>6</v>
      </c>
      <c r="D3" s="1" t="s">
        <v>8</v>
      </c>
      <c r="E3" s="1" t="s">
        <v>15</v>
      </c>
      <c r="F3" t="str">
        <f t="shared" ref="F3:F66" si="0">"["&amp;E3&amp;"]"</f>
        <v>[Código do Estabelecimento Atual, cfe. Tabela de Estabelecimentos]</v>
      </c>
      <c r="J3" t="str">
        <f>"'' AS "&amp;F3&amp;","</f>
        <v>'' AS [Código do Estabelecimento Atual, cfe. Tabela de Estabelecimentos],</v>
      </c>
    </row>
    <row r="4" spans="1:10" x14ac:dyDescent="0.25">
      <c r="A4">
        <v>4</v>
      </c>
      <c r="B4" s="1" t="s">
        <v>6</v>
      </c>
      <c r="D4" s="1" t="s">
        <v>8</v>
      </c>
      <c r="E4" s="1" t="s">
        <v>16</v>
      </c>
      <c r="F4" t="str">
        <f t="shared" si="0"/>
        <v>[Código da Unidade, cfe. Tabela de Unidades]</v>
      </c>
      <c r="J4" t="str">
        <f>"'' AS "&amp;F4&amp;","</f>
        <v>'' AS [Código da Unidade, cfe. Tabela de Unidades],</v>
      </c>
    </row>
    <row r="5" spans="1:10" x14ac:dyDescent="0.25">
      <c r="A5">
        <v>8</v>
      </c>
      <c r="B5" s="1" t="s">
        <v>17</v>
      </c>
      <c r="D5" s="1" t="s">
        <v>8</v>
      </c>
      <c r="E5" s="1" t="s">
        <v>18</v>
      </c>
      <c r="F5" t="str">
        <f t="shared" si="0"/>
        <v>[Código do Contrato]</v>
      </c>
      <c r="J5" t="str">
        <f>"'' AS "&amp;F5&amp;","</f>
        <v>'' AS [Código do Contrato],</v>
      </c>
    </row>
    <row r="6" spans="1:10" x14ac:dyDescent="0.25">
      <c r="A6">
        <v>8</v>
      </c>
      <c r="B6" s="1" t="s">
        <v>17</v>
      </c>
      <c r="D6" s="1" t="s">
        <v>8</v>
      </c>
      <c r="E6" s="1" t="s">
        <v>19</v>
      </c>
      <c r="F6" t="str">
        <f t="shared" si="0"/>
        <v>[Código da Pessoa, cfe. Tabela de Pessoas]</v>
      </c>
      <c r="J6" t="str">
        <f>"'' AS "&amp;F6&amp;","</f>
        <v>'' AS [Código da Pessoa, cfe. Tabela de Pessoas],</v>
      </c>
    </row>
    <row r="7" spans="1:10" x14ac:dyDescent="0.25">
      <c r="A7">
        <v>1</v>
      </c>
      <c r="B7" s="1" t="s">
        <v>6</v>
      </c>
      <c r="D7" s="1" t="s">
        <v>8</v>
      </c>
      <c r="E7" s="1" t="s">
        <v>391</v>
      </c>
      <c r="F7" t="str">
        <f t="shared" si="0"/>
        <v>[Situação]</v>
      </c>
      <c r="G7" t="s">
        <v>341</v>
      </c>
      <c r="H7" t="s">
        <v>394</v>
      </c>
      <c r="I7" t="s">
        <v>395</v>
      </c>
      <c r="J7" t="str">
        <f>"LEFT(CAST("&amp;H7&amp;"."&amp;I7&amp;" AS "&amp;G7&amp;"), "&amp;A7*1&amp;") AS "&amp;F7&amp;","</f>
        <v>LEFT(CAST(PFUNC.CODSITUACAO AS VARCHAR), 1) AS [Situação],</v>
      </c>
    </row>
    <row r="8" spans="1:10" x14ac:dyDescent="0.25">
      <c r="B8" s="1" t="s">
        <v>7</v>
      </c>
      <c r="D8" s="1" t="s">
        <v>7</v>
      </c>
      <c r="E8" s="1" t="s">
        <v>20</v>
      </c>
      <c r="F8" t="str">
        <f t="shared" si="0"/>
        <v>[1 – Ativo]</v>
      </c>
      <c r="J8" t="str">
        <f>"LEFT(CAST("&amp;H8&amp;"."&amp;I8&amp;" AS "&amp;G8&amp;"), "&amp;A8*1&amp;") AS "&amp;F8&amp;","</f>
        <v>LEFT(CAST(. AS ), 0) AS [1 – Ativo],</v>
      </c>
    </row>
    <row r="9" spans="1:10" x14ac:dyDescent="0.25">
      <c r="B9" s="1" t="s">
        <v>7</v>
      </c>
      <c r="D9" s="1" t="s">
        <v>7</v>
      </c>
      <c r="E9" s="1" t="s">
        <v>21</v>
      </c>
      <c r="F9" t="str">
        <f t="shared" si="0"/>
        <v>[2 – Afastado]</v>
      </c>
      <c r="J9" t="str">
        <f>"LEFT(CAST("&amp;H9&amp;"."&amp;I9&amp;" AS "&amp;G9&amp;"), "&amp;A9*1&amp;") AS "&amp;F9&amp;","</f>
        <v>LEFT(CAST(. AS ), 0) AS [2 – Afastado],</v>
      </c>
    </row>
    <row r="10" spans="1:10" x14ac:dyDescent="0.25">
      <c r="B10" s="1" t="s">
        <v>7</v>
      </c>
      <c r="D10" s="1" t="s">
        <v>7</v>
      </c>
      <c r="E10" s="1" t="s">
        <v>22</v>
      </c>
      <c r="F10" t="str">
        <f t="shared" si="0"/>
        <v>[3 – Rescindido no Mês]</v>
      </c>
      <c r="J10" t="str">
        <f>"LEFT(CAST("&amp;H10&amp;"."&amp;I10&amp;" AS "&amp;G10&amp;"), "&amp;A10*1&amp;") AS "&amp;F10&amp;","</f>
        <v>LEFT(CAST(. AS ), 0) AS [3 – Rescindido no Mês],</v>
      </c>
    </row>
    <row r="11" spans="1:10" x14ac:dyDescent="0.25">
      <c r="B11" s="1" t="s">
        <v>7</v>
      </c>
      <c r="D11" s="1" t="s">
        <v>7</v>
      </c>
      <c r="E11" s="1" t="s">
        <v>23</v>
      </c>
      <c r="F11" t="str">
        <f t="shared" si="0"/>
        <v>[4 – Rescindido em Meses Anteriores]</v>
      </c>
      <c r="J11" t="str">
        <f>"LEFT(CAST("&amp;H11&amp;"."&amp;I11&amp;" AS "&amp;G11&amp;"), "&amp;A11*1&amp;") AS "&amp;F11&amp;","</f>
        <v>LEFT(CAST(. AS ), 0) AS [4 – Rescindido em Meses Anteriores],</v>
      </c>
    </row>
    <row r="12" spans="1:10" x14ac:dyDescent="0.25">
      <c r="A12">
        <v>8</v>
      </c>
      <c r="B12" s="1" t="s">
        <v>2</v>
      </c>
      <c r="D12" s="1" t="s">
        <v>8</v>
      </c>
      <c r="E12" s="1" t="s">
        <v>24</v>
      </c>
      <c r="F12" t="str">
        <f t="shared" si="0"/>
        <v>[Data de Admissão]</v>
      </c>
      <c r="G12" t="s">
        <v>349</v>
      </c>
      <c r="H12" t="s">
        <v>394</v>
      </c>
      <c r="I12" t="s">
        <v>396</v>
      </c>
      <c r="J12" t="str">
        <f>"LEFT(CAST("&amp;H12&amp;"."&amp;I12&amp;" AS "&amp;G12&amp;"), "&amp;A12*1&amp;") AS "&amp;F12&amp;","</f>
        <v>LEFT(CAST(PFUNC.DATAADMISSAO AS DATE), 8) AS [Data de Admissão],</v>
      </c>
    </row>
    <row r="13" spans="1:10" x14ac:dyDescent="0.25">
      <c r="A13">
        <v>1</v>
      </c>
      <c r="B13" s="1" t="s">
        <v>6</v>
      </c>
      <c r="D13" s="1" t="s">
        <v>8</v>
      </c>
      <c r="E13" s="1" t="s">
        <v>392</v>
      </c>
      <c r="F13" t="str">
        <f t="shared" si="0"/>
        <v>[Tipo de Salário]</v>
      </c>
      <c r="G13" t="s">
        <v>341</v>
      </c>
      <c r="H13" t="s">
        <v>394</v>
      </c>
      <c r="I13" t="s">
        <v>397</v>
      </c>
      <c r="J13" t="str">
        <f t="shared" ref="J13" si="1">"LEFT(CAST("&amp;H13&amp;"."&amp;I13&amp;" AS "&amp;G13&amp;"), "&amp;A13*1&amp;") AS "&amp;F13&amp;","</f>
        <v>LEFT(CAST(PFUNC.CODRECEBIMENTO AS VARCHAR), 1) AS [Tipo de Salário],</v>
      </c>
    </row>
    <row r="14" spans="1:10" x14ac:dyDescent="0.25">
      <c r="B14" s="1" t="s">
        <v>7</v>
      </c>
      <c r="D14" s="1" t="s">
        <v>7</v>
      </c>
      <c r="E14" s="1" t="s">
        <v>25</v>
      </c>
      <c r="F14" t="str">
        <f t="shared" si="0"/>
        <v>[1 – Mensal]</v>
      </c>
    </row>
    <row r="15" spans="1:10" x14ac:dyDescent="0.25">
      <c r="B15" s="1" t="s">
        <v>7</v>
      </c>
      <c r="D15" s="1" t="s">
        <v>7</v>
      </c>
      <c r="E15" s="1" t="s">
        <v>26</v>
      </c>
      <c r="F15" t="str">
        <f t="shared" si="0"/>
        <v>[2 – Por Quinzena]</v>
      </c>
    </row>
    <row r="16" spans="1:10" x14ac:dyDescent="0.25">
      <c r="B16" s="1" t="s">
        <v>7</v>
      </c>
      <c r="D16" s="1" t="s">
        <v>7</v>
      </c>
      <c r="E16" s="1" t="s">
        <v>27</v>
      </c>
      <c r="F16" t="str">
        <f t="shared" si="0"/>
        <v>[3 – Por Semana]</v>
      </c>
    </row>
    <row r="17" spans="1:10" x14ac:dyDescent="0.25">
      <c r="B17" s="1" t="s">
        <v>7</v>
      </c>
      <c r="D17" s="1" t="s">
        <v>7</v>
      </c>
      <c r="E17" s="1" t="s">
        <v>28</v>
      </c>
      <c r="F17" t="str">
        <f t="shared" si="0"/>
        <v>[4 – Por Dia]</v>
      </c>
    </row>
    <row r="18" spans="1:10" x14ac:dyDescent="0.25">
      <c r="B18" s="1" t="s">
        <v>7</v>
      </c>
      <c r="D18" s="1" t="s">
        <v>7</v>
      </c>
      <c r="E18" s="1" t="s">
        <v>29</v>
      </c>
      <c r="F18" t="str">
        <f t="shared" si="0"/>
        <v>[5 – Por Hora]</v>
      </c>
    </row>
    <row r="19" spans="1:10" x14ac:dyDescent="0.25">
      <c r="B19" s="1" t="s">
        <v>7</v>
      </c>
      <c r="D19" s="1" t="s">
        <v>7</v>
      </c>
      <c r="E19" s="1" t="s">
        <v>30</v>
      </c>
      <c r="F19" t="str">
        <f t="shared" si="0"/>
        <v>[6 – Por Tarefa]</v>
      </c>
    </row>
    <row r="20" spans="1:10" x14ac:dyDescent="0.25">
      <c r="B20" s="1" t="s">
        <v>7</v>
      </c>
      <c r="D20" s="1" t="s">
        <v>7</v>
      </c>
      <c r="E20" s="1" t="s">
        <v>31</v>
      </c>
      <c r="F20" t="str">
        <f t="shared" si="0"/>
        <v>[7 – Outros]</v>
      </c>
    </row>
    <row r="21" spans="1:10" x14ac:dyDescent="0.25">
      <c r="A21">
        <v>11</v>
      </c>
      <c r="B21" s="1" t="s">
        <v>17</v>
      </c>
      <c r="C21">
        <v>2</v>
      </c>
      <c r="D21" s="1" t="s">
        <v>32</v>
      </c>
      <c r="E21" s="1" t="s">
        <v>33</v>
      </c>
      <c r="F21" t="str">
        <f t="shared" si="0"/>
        <v>[Salário Contratual, cfe. Tipo de Salário]</v>
      </c>
      <c r="J21" t="str">
        <f>"'' AS "&amp;F21&amp;","</f>
        <v>'' AS [Salário Contratual, cfe. Tipo de Salário],</v>
      </c>
    </row>
    <row r="22" spans="1:10" x14ac:dyDescent="0.25">
      <c r="A22">
        <v>5</v>
      </c>
      <c r="B22" s="1" t="s">
        <v>17</v>
      </c>
      <c r="C22">
        <v>2</v>
      </c>
      <c r="D22" s="1" t="s">
        <v>32</v>
      </c>
      <c r="E22" s="1" t="s">
        <v>34</v>
      </c>
      <c r="F22" t="str">
        <f t="shared" si="0"/>
        <v>[Horas Contratuais, cfe. Tipo de Salário. Informar Horas/Mês nos contratos
de Horistas (Tipo de Salário “5”).]</v>
      </c>
      <c r="J22" t="str">
        <f>"'' AS "&amp;F22&amp;","</f>
        <v>'' AS [Horas Contratuais, cfe. Tipo de Salário. Informar Horas/Mês nos contratos
de Horistas (Tipo de Salário “5”).],</v>
      </c>
    </row>
    <row r="23" spans="1:10" x14ac:dyDescent="0.25">
      <c r="A23">
        <v>5</v>
      </c>
      <c r="B23" s="1" t="s">
        <v>17</v>
      </c>
      <c r="C23">
        <v>2</v>
      </c>
      <c r="D23" s="1" t="s">
        <v>32</v>
      </c>
      <c r="E23" s="1" t="s">
        <v>35</v>
      </c>
      <c r="F23" t="str">
        <f t="shared" si="0"/>
        <v>[Percentual de Insalubridade]</v>
      </c>
      <c r="J23" t="str">
        <f>"'' AS "&amp;F23&amp;","</f>
        <v>'' AS [Percentual de Insalubridade],</v>
      </c>
    </row>
    <row r="24" spans="1:10" x14ac:dyDescent="0.25">
      <c r="A24">
        <v>5</v>
      </c>
      <c r="B24" s="1" t="s">
        <v>17</v>
      </c>
      <c r="C24">
        <v>2</v>
      </c>
      <c r="D24" s="1" t="s">
        <v>32</v>
      </c>
      <c r="E24" s="1" t="s">
        <v>36</v>
      </c>
      <c r="F24" t="str">
        <f t="shared" si="0"/>
        <v>[Percentual de Periculosidade]</v>
      </c>
      <c r="J24" t="str">
        <f>"'' AS "&amp;F24&amp;","</f>
        <v>'' AS [Percentual de Periculosidade],</v>
      </c>
    </row>
    <row r="25" spans="1:10" x14ac:dyDescent="0.25">
      <c r="A25">
        <v>2</v>
      </c>
      <c r="B25" s="1" t="s">
        <v>6</v>
      </c>
      <c r="D25" s="1" t="s">
        <v>32</v>
      </c>
      <c r="E25" s="1" t="s">
        <v>793</v>
      </c>
      <c r="F25" t="str">
        <f t="shared" si="0"/>
        <v>[Nível de Exposição a Agente Nocivo]</v>
      </c>
      <c r="J25" t="str">
        <f>"'' AS "&amp;F25&amp;","</f>
        <v>'' AS [Nível de Exposição a Agente Nocivo],</v>
      </c>
    </row>
    <row r="26" spans="1:10" x14ac:dyDescent="0.25">
      <c r="B26" s="1" t="s">
        <v>7</v>
      </c>
      <c r="D26" s="1" t="s">
        <v>7</v>
      </c>
      <c r="E26" s="1" t="s">
        <v>37</v>
      </c>
      <c r="F26" t="str">
        <f t="shared" si="0"/>
        <v>[00 – Nunca esteve exposto]</v>
      </c>
      <c r="J26" t="str">
        <f>"'' AS "&amp;F26&amp;","</f>
        <v>'' AS [00 – Nunca esteve exposto],</v>
      </c>
    </row>
    <row r="27" spans="1:10" x14ac:dyDescent="0.25">
      <c r="B27" s="1" t="s">
        <v>7</v>
      </c>
      <c r="D27" s="1" t="s">
        <v>7</v>
      </c>
      <c r="E27" s="1" t="s">
        <v>38</v>
      </c>
      <c r="F27" t="str">
        <f t="shared" si="0"/>
        <v>[01 – Não exposto, mas já esteve]</v>
      </c>
      <c r="J27" t="str">
        <f>"'' AS "&amp;F27&amp;","</f>
        <v>'' AS [01 – Não exposto, mas já esteve],</v>
      </c>
    </row>
    <row r="28" spans="1:10" x14ac:dyDescent="0.25">
      <c r="B28" s="1" t="s">
        <v>7</v>
      </c>
      <c r="D28" s="1" t="s">
        <v>7</v>
      </c>
      <c r="E28" s="1" t="s">
        <v>39</v>
      </c>
      <c r="F28" t="str">
        <f t="shared" si="0"/>
        <v>[02 – Exposto com aposentadoria aos 15 anos]</v>
      </c>
      <c r="J28" t="str">
        <f>"'' AS "&amp;F28&amp;","</f>
        <v>'' AS [02 – Exposto com aposentadoria aos 15 anos],</v>
      </c>
    </row>
    <row r="29" spans="1:10" x14ac:dyDescent="0.25">
      <c r="B29" s="1" t="s">
        <v>7</v>
      </c>
      <c r="D29" s="1" t="s">
        <v>7</v>
      </c>
      <c r="E29" s="1" t="s">
        <v>40</v>
      </c>
      <c r="F29" t="str">
        <f t="shared" si="0"/>
        <v>[03 – Exposto com aposentadoria aos 20 anos]</v>
      </c>
      <c r="J29" t="str">
        <f>"'' AS "&amp;F29&amp;","</f>
        <v>'' AS [03 – Exposto com aposentadoria aos 20 anos],</v>
      </c>
    </row>
    <row r="30" spans="1:10" x14ac:dyDescent="0.25">
      <c r="B30" s="1" t="s">
        <v>7</v>
      </c>
      <c r="D30" s="1" t="s">
        <v>7</v>
      </c>
      <c r="E30" s="1" t="s">
        <v>41</v>
      </c>
      <c r="F30" t="str">
        <f t="shared" si="0"/>
        <v>[04 – Exposto com aposentadoria aos 25 anos]</v>
      </c>
      <c r="J30" t="str">
        <f>"'' AS "&amp;F30&amp;","</f>
        <v>'' AS [04 – Exposto com aposentadoria aos 25 anos],</v>
      </c>
    </row>
    <row r="31" spans="1:10" x14ac:dyDescent="0.25">
      <c r="B31" s="1" t="s">
        <v>7</v>
      </c>
      <c r="D31" s="1" t="s">
        <v>7</v>
      </c>
      <c r="E31" s="1" t="s">
        <v>42</v>
      </c>
      <c r="F31" t="str">
        <f t="shared" si="0"/>
        <v>[05 – Não exposto com mais de um vínculo]</v>
      </c>
      <c r="J31" t="str">
        <f>"'' AS "&amp;F31&amp;","</f>
        <v>'' AS [05 – Não exposto com mais de um vínculo],</v>
      </c>
    </row>
    <row r="32" spans="1:10" x14ac:dyDescent="0.25">
      <c r="B32" s="1" t="s">
        <v>7</v>
      </c>
      <c r="D32" s="1" t="s">
        <v>7</v>
      </c>
      <c r="E32" s="1" t="s">
        <v>43</v>
      </c>
      <c r="F32" t="str">
        <f t="shared" si="0"/>
        <v>[06 – Exposto c/aposentadoria 15 anos e mais de um vínculo]</v>
      </c>
      <c r="J32" t="str">
        <f>"'' AS "&amp;F32&amp;","</f>
        <v>'' AS [06 – Exposto c/aposentadoria 15 anos e mais de um vínculo],</v>
      </c>
    </row>
    <row r="33" spans="1:10" x14ac:dyDescent="0.25">
      <c r="B33" s="1" t="s">
        <v>7</v>
      </c>
      <c r="D33" s="1" t="s">
        <v>7</v>
      </c>
      <c r="E33" s="1" t="s">
        <v>44</v>
      </c>
      <c r="F33" t="str">
        <f t="shared" si="0"/>
        <v>[07 – Exposto c/aposentadoria 20 anos e mais de um vínculo]</v>
      </c>
      <c r="J33" t="str">
        <f>"'' AS "&amp;F33&amp;","</f>
        <v>'' AS [07 – Exposto c/aposentadoria 20 anos e mais de um vínculo],</v>
      </c>
    </row>
    <row r="34" spans="1:10" x14ac:dyDescent="0.25">
      <c r="B34" s="1" t="s">
        <v>7</v>
      </c>
      <c r="D34" s="1" t="s">
        <v>7</v>
      </c>
      <c r="E34" s="1" t="s">
        <v>45</v>
      </c>
      <c r="F34" t="str">
        <f t="shared" si="0"/>
        <v>[08 – Exposto c/aposentadoria 25 anos e mais de um vínculo]</v>
      </c>
      <c r="J34" t="str">
        <f>"'' AS "&amp;F34&amp;","</f>
        <v>'' AS [08 – Exposto c/aposentadoria 25 anos e mais de um vínculo],</v>
      </c>
    </row>
    <row r="35" spans="1:10" x14ac:dyDescent="0.25">
      <c r="A35">
        <v>3</v>
      </c>
      <c r="B35" s="1" t="s">
        <v>17</v>
      </c>
      <c r="D35" s="1" t="s">
        <v>32</v>
      </c>
      <c r="E35" s="1" t="s">
        <v>46</v>
      </c>
      <c r="F35" t="str">
        <f t="shared" si="0"/>
        <v>[Número do Banco do Funcionário (Banco Central)]</v>
      </c>
      <c r="G35" t="s">
        <v>348</v>
      </c>
      <c r="H35" t="s">
        <v>394</v>
      </c>
      <c r="I35" t="s">
        <v>795</v>
      </c>
      <c r="J35" t="str">
        <f t="shared" ref="J35:J38" si="2">"LEFT(CAST("&amp;H35&amp;"."&amp;I35&amp;" AS "&amp;G35&amp;"), "&amp;A35*1&amp;") AS "&amp;F35&amp;","</f>
        <v>LEFT(CAST(PFUNC.CODBANCOPAGTO AS INTEGER), 3) AS [Número do Banco do Funcionário (Banco Central)],</v>
      </c>
    </row>
    <row r="36" spans="1:10" x14ac:dyDescent="0.25">
      <c r="A36">
        <v>4</v>
      </c>
      <c r="B36" s="1" t="s">
        <v>17</v>
      </c>
      <c r="D36" s="1" t="s">
        <v>32</v>
      </c>
      <c r="E36" s="1" t="s">
        <v>47</v>
      </c>
      <c r="F36" t="str">
        <f t="shared" si="0"/>
        <v>[Agencia Bancária do Funcionário]</v>
      </c>
      <c r="G36" t="s">
        <v>348</v>
      </c>
      <c r="H36" t="s">
        <v>394</v>
      </c>
      <c r="I36" t="s">
        <v>794</v>
      </c>
      <c r="J36" t="str">
        <f t="shared" si="2"/>
        <v>LEFT(CAST(PFUNC.CODAGENCIAPAGTO AS INTEGER), 4) AS [Agencia Bancária do Funcionário],</v>
      </c>
    </row>
    <row r="37" spans="1:10" x14ac:dyDescent="0.25">
      <c r="A37">
        <v>1</v>
      </c>
      <c r="B37" s="1" t="s">
        <v>17</v>
      </c>
      <c r="D37" s="1" t="s">
        <v>32</v>
      </c>
      <c r="E37" s="1" t="s">
        <v>48</v>
      </c>
      <c r="F37" t="str">
        <f t="shared" si="0"/>
        <v>[Dígito da Agência Bancária do Funcionário]</v>
      </c>
      <c r="G37" t="s">
        <v>348</v>
      </c>
      <c r="H37" t="s">
        <v>394</v>
      </c>
      <c r="I37" t="s">
        <v>794</v>
      </c>
      <c r="J37" t="str">
        <f t="shared" si="2"/>
        <v>LEFT(CAST(PFUNC.CODAGENCIAPAGTO AS INTEGER), 1) AS [Dígito da Agência Bancária do Funcionário],</v>
      </c>
    </row>
    <row r="38" spans="1:10" x14ac:dyDescent="0.25">
      <c r="A38">
        <v>15</v>
      </c>
      <c r="B38" s="1" t="s">
        <v>6</v>
      </c>
      <c r="D38" s="1" t="s">
        <v>32</v>
      </c>
      <c r="E38" s="1" t="s">
        <v>49</v>
      </c>
      <c r="F38" t="str">
        <f t="shared" si="0"/>
        <v>[Número/Dígito da Conta Corrente]</v>
      </c>
      <c r="G38" t="s">
        <v>341</v>
      </c>
      <c r="H38" t="s">
        <v>394</v>
      </c>
      <c r="I38" t="s">
        <v>796</v>
      </c>
      <c r="J38" t="str">
        <f t="shared" si="2"/>
        <v>LEFT(CAST(PFUNC.CONTAPAGAMENTO AS VARCHAR), 15) AS [Número/Dígito da Conta Corrente],</v>
      </c>
    </row>
    <row r="39" spans="1:10" x14ac:dyDescent="0.25">
      <c r="A39">
        <v>11</v>
      </c>
      <c r="B39" s="1" t="s">
        <v>6</v>
      </c>
      <c r="D39" s="1" t="s">
        <v>32</v>
      </c>
      <c r="E39" s="1" t="s">
        <v>50</v>
      </c>
      <c r="F39" t="str">
        <f t="shared" si="0"/>
        <v>[Cadastro do Empregado na CEF (para o FGTS)]</v>
      </c>
      <c r="J39" t="str">
        <f>"'' AS "&amp;F39&amp;","</f>
        <v>'' AS [Cadastro do Empregado na CEF (para o FGTS)],</v>
      </c>
    </row>
    <row r="40" spans="1:10" x14ac:dyDescent="0.25">
      <c r="A40">
        <v>8</v>
      </c>
      <c r="B40" s="1" t="s">
        <v>2</v>
      </c>
      <c r="D40" s="1" t="s">
        <v>32</v>
      </c>
      <c r="E40" s="1" t="s">
        <v>51</v>
      </c>
      <c r="F40" t="str">
        <f t="shared" si="0"/>
        <v>[Data de Início do Contrato de Experiência/Temporário]</v>
      </c>
      <c r="J40" t="str">
        <f>"'' AS "&amp;F40&amp;","</f>
        <v>'' AS [Data de Início do Contrato de Experiência/Temporário],</v>
      </c>
    </row>
    <row r="41" spans="1:10" x14ac:dyDescent="0.25">
      <c r="A41">
        <v>8</v>
      </c>
      <c r="B41" s="1" t="s">
        <v>2</v>
      </c>
      <c r="D41" s="1" t="s">
        <v>32</v>
      </c>
      <c r="E41" s="1" t="s">
        <v>52</v>
      </c>
      <c r="F41" t="str">
        <f t="shared" si="0"/>
        <v>[Data de Término do Contrato de Experiência/Temporário]</v>
      </c>
      <c r="J41" t="str">
        <f>"'' AS "&amp;F41&amp;","</f>
        <v>'' AS [Data de Término do Contrato de Experiência/Temporário],</v>
      </c>
    </row>
    <row r="42" spans="1:10" x14ac:dyDescent="0.25">
      <c r="A42">
        <v>4</v>
      </c>
      <c r="B42" s="1" t="s">
        <v>17</v>
      </c>
      <c r="D42" s="1" t="s">
        <v>32</v>
      </c>
      <c r="E42" s="1" t="s">
        <v>53</v>
      </c>
      <c r="F42" t="str">
        <f t="shared" si="0"/>
        <v>[Número de Dias do Contrato de Experiência/Temporário]</v>
      </c>
      <c r="J42" t="str">
        <f>"'' AS "&amp;F42&amp;","</f>
        <v>'' AS [Número de Dias do Contrato de Experiência/Temporário],</v>
      </c>
    </row>
    <row r="43" spans="1:10" x14ac:dyDescent="0.25">
      <c r="A43">
        <v>8</v>
      </c>
      <c r="B43" s="1" t="s">
        <v>2</v>
      </c>
      <c r="D43" s="1" t="s">
        <v>32</v>
      </c>
      <c r="E43" s="1" t="s">
        <v>54</v>
      </c>
      <c r="F43" t="str">
        <f t="shared" si="0"/>
        <v>[Data de Início da Prorrogação do Contrato de Experiência]</v>
      </c>
      <c r="J43" t="str">
        <f>"'' AS "&amp;F43&amp;","</f>
        <v>'' AS [Data de Início da Prorrogação do Contrato de Experiência],</v>
      </c>
    </row>
    <row r="44" spans="1:10" x14ac:dyDescent="0.25">
      <c r="A44">
        <v>8</v>
      </c>
      <c r="B44" s="1" t="s">
        <v>2</v>
      </c>
      <c r="D44" s="1" t="s">
        <v>32</v>
      </c>
      <c r="E44" s="1" t="s">
        <v>55</v>
      </c>
      <c r="F44" t="str">
        <f t="shared" si="0"/>
        <v>[Data de Término da Prorrogação do Contrato de Experiência]</v>
      </c>
      <c r="J44" t="str">
        <f>"'' AS "&amp;F44&amp;","</f>
        <v>'' AS [Data de Término da Prorrogação do Contrato de Experiência],</v>
      </c>
    </row>
    <row r="45" spans="1:10" x14ac:dyDescent="0.25">
      <c r="A45">
        <v>4</v>
      </c>
      <c r="B45" s="1" t="s">
        <v>17</v>
      </c>
      <c r="D45" s="1" t="s">
        <v>32</v>
      </c>
      <c r="E45" s="1" t="s">
        <v>56</v>
      </c>
      <c r="F45" t="str">
        <f t="shared" si="0"/>
        <v>[Número de Dias da Prorrogação do Contrato de Experiência]</v>
      </c>
      <c r="J45" t="str">
        <f>"'' AS "&amp;F45&amp;","</f>
        <v>'' AS [Número de Dias da Prorrogação do Contrato de Experiência],</v>
      </c>
    </row>
    <row r="46" spans="1:10" x14ac:dyDescent="0.25">
      <c r="A46">
        <v>8</v>
      </c>
      <c r="B46" s="1" t="s">
        <v>2</v>
      </c>
      <c r="D46" s="1" t="s">
        <v>32</v>
      </c>
      <c r="E46" s="1" t="s">
        <v>57</v>
      </c>
      <c r="F46" t="str">
        <f t="shared" si="0"/>
        <v>[Data da Rescisão]</v>
      </c>
      <c r="G46" t="s">
        <v>349</v>
      </c>
      <c r="H46" t="s">
        <v>394</v>
      </c>
      <c r="I46" t="s">
        <v>797</v>
      </c>
      <c r="J46" t="str">
        <f t="shared" ref="J46:J48" si="3">"LEFT(CAST("&amp;H46&amp;"."&amp;I46&amp;" AS "&amp;G46&amp;"), "&amp;A46*1&amp;") AS "&amp;F46&amp;","</f>
        <v>LEFT(CAST(PFUNC.DATADEMISSA AS DATE), 8) AS [Data da Rescisão],</v>
      </c>
    </row>
    <row r="47" spans="1:10" x14ac:dyDescent="0.25">
      <c r="A47">
        <v>8</v>
      </c>
      <c r="B47" s="1" t="s">
        <v>6</v>
      </c>
      <c r="D47" s="1" t="s">
        <v>32</v>
      </c>
      <c r="E47" s="1" t="s">
        <v>58</v>
      </c>
      <c r="F47" t="str">
        <f t="shared" si="0"/>
        <v>[Código do Cargo, cfe. Tabela de Cargos]</v>
      </c>
      <c r="J47" t="str">
        <f>"'' AS "&amp;F47&amp;","</f>
        <v>'' AS [Código do Cargo, cfe. Tabela de Cargos],</v>
      </c>
    </row>
    <row r="48" spans="1:10" x14ac:dyDescent="0.25">
      <c r="A48">
        <v>30</v>
      </c>
      <c r="B48" s="1" t="s">
        <v>6</v>
      </c>
      <c r="D48" s="1" t="s">
        <v>8</v>
      </c>
      <c r="E48" s="1" t="s">
        <v>59</v>
      </c>
      <c r="F48" t="str">
        <f t="shared" si="0"/>
        <v>[Matrícula para o eSocial]</v>
      </c>
      <c r="G48" t="s">
        <v>341</v>
      </c>
      <c r="H48" t="s">
        <v>394</v>
      </c>
      <c r="I48" t="s">
        <v>398</v>
      </c>
      <c r="J48" t="str">
        <f t="shared" si="3"/>
        <v>LEFT(CAST(PFUNC.MATRICULAESOCIAL AS VARCHAR), 30) AS [Matrícula para o eSocial],</v>
      </c>
    </row>
    <row r="49" spans="1:10" x14ac:dyDescent="0.25">
      <c r="A49">
        <v>1</v>
      </c>
      <c r="B49" s="1" t="s">
        <v>6</v>
      </c>
      <c r="D49" s="1" t="s">
        <v>8</v>
      </c>
      <c r="E49" s="1" t="s">
        <v>60</v>
      </c>
      <c r="F49" t="str">
        <f t="shared" si="0"/>
        <v>[Tipo de Contrato]</v>
      </c>
      <c r="J49" t="str">
        <f>"2 AS "&amp;F49&amp;","</f>
        <v>2 AS [Tipo de Contrato],</v>
      </c>
    </row>
    <row r="50" spans="1:10" x14ac:dyDescent="0.25">
      <c r="B50" s="1" t="s">
        <v>7</v>
      </c>
      <c r="D50" s="1" t="s">
        <v>7</v>
      </c>
      <c r="E50" s="1" t="s">
        <v>61</v>
      </c>
      <c r="F50" t="str">
        <f t="shared" si="0"/>
        <v>[1 - Determinado]</v>
      </c>
      <c r="J50" t="str">
        <f>"'' AS "&amp;F50&amp;","</f>
        <v>'' AS [1 - Determinado],</v>
      </c>
    </row>
    <row r="51" spans="1:10" x14ac:dyDescent="0.25">
      <c r="B51" s="1" t="s">
        <v>7</v>
      </c>
      <c r="D51" s="1" t="s">
        <v>7</v>
      </c>
      <c r="E51" s="1" t="s">
        <v>62</v>
      </c>
      <c r="F51" t="str">
        <f t="shared" si="0"/>
        <v>[2 - Efetivo]</v>
      </c>
      <c r="J51" t="str">
        <f>"'' AS "&amp;F51&amp;","</f>
        <v>'' AS [2 - Efetivo],</v>
      </c>
    </row>
    <row r="52" spans="1:10" x14ac:dyDescent="0.25">
      <c r="A52">
        <v>8</v>
      </c>
      <c r="B52" s="1" t="s">
        <v>6</v>
      </c>
      <c r="D52" s="1" t="s">
        <v>32</v>
      </c>
      <c r="E52" s="1" t="s">
        <v>63</v>
      </c>
      <c r="F52" t="str">
        <f t="shared" si="0"/>
        <v>[Motivo de Rescisão Darwin]</v>
      </c>
      <c r="J52" t="str">
        <f>"'' AS "&amp;F52&amp;","</f>
        <v>'' AS [Motivo de Rescisão Darwin],</v>
      </c>
    </row>
    <row r="53" spans="1:10" x14ac:dyDescent="0.25">
      <c r="B53" s="1" t="s">
        <v>7</v>
      </c>
      <c r="D53" s="1" t="s">
        <v>7</v>
      </c>
      <c r="E53" s="1" t="s">
        <v>64</v>
      </c>
      <c r="F53" t="str">
        <f t="shared" si="0"/>
        <v>[001 – Demissão com Justa Causa]</v>
      </c>
    </row>
    <row r="54" spans="1:10" x14ac:dyDescent="0.25">
      <c r="B54" s="1" t="s">
        <v>7</v>
      </c>
      <c r="D54" s="1" t="s">
        <v>7</v>
      </c>
      <c r="E54" s="1" t="s">
        <v>65</v>
      </c>
      <c r="F54" t="str">
        <f t="shared" si="0"/>
        <v>[002 – Demissão Sem Justa Causa]</v>
      </c>
    </row>
    <row r="55" spans="1:10" x14ac:dyDescent="0.25">
      <c r="B55" s="1" t="s">
        <v>7</v>
      </c>
      <c r="D55" s="1" t="s">
        <v>7</v>
      </c>
      <c r="E55" s="1" t="s">
        <v>66</v>
      </c>
      <c r="F55" t="str">
        <f t="shared" si="0"/>
        <v>[003 – Pedido de Demissão Sem Justa Causa]</v>
      </c>
    </row>
    <row r="56" spans="1:10" x14ac:dyDescent="0.25">
      <c r="B56" s="1" t="s">
        <v>7</v>
      </c>
      <c r="D56" s="1" t="s">
        <v>7</v>
      </c>
      <c r="E56" s="1" t="s">
        <v>67</v>
      </c>
      <c r="F56" t="str">
        <f t="shared" si="0"/>
        <v>[005 – Rescisão Por Término de Contrato Prazo Determinado]</v>
      </c>
    </row>
    <row r="57" spans="1:10" x14ac:dyDescent="0.25">
      <c r="B57" s="1" t="s">
        <v>7</v>
      </c>
      <c r="D57" s="1" t="s">
        <v>7</v>
      </c>
      <c r="E57" s="1" t="s">
        <v>68</v>
      </c>
      <c r="F57" t="str">
        <f t="shared" si="0"/>
        <v>[006 – Resc. Ant. do Contr. Por Prazo Determinado p/Empregado]</v>
      </c>
    </row>
    <row r="58" spans="1:10" x14ac:dyDescent="0.25">
      <c r="B58" s="1" t="s">
        <v>7</v>
      </c>
      <c r="D58" s="1" t="s">
        <v>7</v>
      </c>
      <c r="E58" s="1" t="s">
        <v>69</v>
      </c>
      <c r="F58" t="str">
        <f t="shared" si="0"/>
        <v>[007 – Resc. Ant. do Contr. Por Prazo Determinado p/Empresa]</v>
      </c>
    </row>
    <row r="59" spans="1:10" x14ac:dyDescent="0.25">
      <c r="B59" s="1" t="s">
        <v>7</v>
      </c>
      <c r="D59" s="1" t="s">
        <v>7</v>
      </c>
      <c r="E59" s="1" t="s">
        <v>70</v>
      </c>
      <c r="F59" t="str">
        <f t="shared" si="0"/>
        <v>[008 – Rescisão p/Término de Contr. Temporário]</v>
      </c>
    </row>
    <row r="60" spans="1:10" x14ac:dyDescent="0.25">
      <c r="B60" s="1" t="s">
        <v>7</v>
      </c>
      <c r="D60" s="1" t="s">
        <v>7</v>
      </c>
      <c r="E60" s="1" t="s">
        <v>71</v>
      </c>
      <c r="F60" t="str">
        <f t="shared" si="0"/>
        <v>[009 – Rescisão por Dispensa Indireta]</v>
      </c>
    </row>
    <row r="61" spans="1:10" x14ac:dyDescent="0.25">
      <c r="B61" s="1" t="s">
        <v>7</v>
      </c>
      <c r="D61" s="1" t="s">
        <v>7</v>
      </c>
      <c r="E61" s="1" t="s">
        <v>72</v>
      </c>
      <c r="F61" t="str">
        <f t="shared" si="0"/>
        <v>[010 – Rescisão por Culpa Recíproca]</v>
      </c>
    </row>
    <row r="62" spans="1:10" x14ac:dyDescent="0.25">
      <c r="B62" s="1" t="s">
        <v>7</v>
      </c>
      <c r="D62" s="1" t="s">
        <v>7</v>
      </c>
      <c r="E62" s="1" t="s">
        <v>73</v>
      </c>
      <c r="F62" t="str">
        <f t="shared" si="0"/>
        <v>[011 – Transferência de Estab. c/Ônus p/Cedente]</v>
      </c>
    </row>
    <row r="63" spans="1:10" x14ac:dyDescent="0.25">
      <c r="B63" s="1" t="s">
        <v>7</v>
      </c>
      <c r="D63" s="1" t="s">
        <v>7</v>
      </c>
      <c r="E63" s="1" t="s">
        <v>74</v>
      </c>
      <c r="F63" t="str">
        <f t="shared" si="0"/>
        <v>[012 – Transferência de Estab. s/Ônus p/Cedente]</v>
      </c>
    </row>
    <row r="64" spans="1:10" x14ac:dyDescent="0.25">
      <c r="B64" s="1" t="s">
        <v>7</v>
      </c>
      <c r="D64" s="1" t="s">
        <v>7</v>
      </c>
      <c r="E64" s="1" t="s">
        <v>75</v>
      </c>
      <c r="F64" t="str">
        <f t="shared" si="0"/>
        <v>[013 – Mudança de Regime Trabalhista]</v>
      </c>
    </row>
    <row r="65" spans="2:6" x14ac:dyDescent="0.25">
      <c r="B65" s="1" t="s">
        <v>7</v>
      </c>
      <c r="D65" s="1" t="s">
        <v>7</v>
      </c>
      <c r="E65" s="1" t="s">
        <v>76</v>
      </c>
      <c r="F65" t="str">
        <f t="shared" si="0"/>
        <v>[014 – Reforma de Militar]</v>
      </c>
    </row>
    <row r="66" spans="2:6" x14ac:dyDescent="0.25">
      <c r="B66" s="1" t="s">
        <v>7</v>
      </c>
      <c r="D66" s="1" t="s">
        <v>7</v>
      </c>
      <c r="E66" s="1" t="s">
        <v>77</v>
      </c>
      <c r="F66" t="str">
        <f t="shared" si="0"/>
        <v>[015 – Demissão sem Justa Causa Empr. Doméstico]</v>
      </c>
    </row>
    <row r="67" spans="2:6" x14ac:dyDescent="0.25">
      <c r="B67" s="1" t="s">
        <v>7</v>
      </c>
      <c r="D67" s="1" t="s">
        <v>7</v>
      </c>
      <c r="E67" s="1" t="s">
        <v>78</v>
      </c>
      <c r="F67" t="str">
        <f t="shared" ref="F67:F130" si="4">"["&amp;E67&amp;"]"</f>
        <v>[016 – Rescisão por Acordo Entre as Partes]</v>
      </c>
    </row>
    <row r="68" spans="2:6" x14ac:dyDescent="0.25">
      <c r="B68" s="1" t="s">
        <v>7</v>
      </c>
      <c r="D68" s="1" t="s">
        <v>7</v>
      </c>
      <c r="E68" s="1" t="s">
        <v>79</v>
      </c>
      <c r="F68" t="str">
        <f t="shared" si="4"/>
        <v>[017 – Desligamento p/Tranf. Outro Sistema]</v>
      </c>
    </row>
    <row r="69" spans="2:6" x14ac:dyDescent="0.25">
      <c r="B69" s="1" t="s">
        <v>7</v>
      </c>
      <c r="D69" s="1" t="s">
        <v>7</v>
      </c>
      <c r="E69" s="1" t="s">
        <v>80</v>
      </c>
      <c r="F69" t="str">
        <f t="shared" si="4"/>
        <v>[020 – Falecimento]</v>
      </c>
    </row>
    <row r="70" spans="2:6" x14ac:dyDescent="0.25">
      <c r="B70" s="1" t="s">
        <v>7</v>
      </c>
      <c r="D70" s="1" t="s">
        <v>7</v>
      </c>
      <c r="E70" s="1" t="s">
        <v>81</v>
      </c>
      <c r="F70" t="str">
        <f t="shared" si="4"/>
        <v>[021 – Falecimento Decorr. de Acidente do Trabalho]</v>
      </c>
    </row>
    <row r="71" spans="2:6" x14ac:dyDescent="0.25">
      <c r="B71" s="1" t="s">
        <v>7</v>
      </c>
      <c r="D71" s="1" t="s">
        <v>7</v>
      </c>
      <c r="E71" s="1" t="s">
        <v>82</v>
      </c>
      <c r="F71" t="str">
        <f t="shared" si="4"/>
        <v>[022 – Falecimento Decorr. de Doença Pr.]</v>
      </c>
    </row>
    <row r="72" spans="2:6" x14ac:dyDescent="0.25">
      <c r="B72" s="1" t="s">
        <v>7</v>
      </c>
      <c r="D72" s="1" t="s">
        <v>7</v>
      </c>
      <c r="E72" s="1" t="s">
        <v>83</v>
      </c>
      <c r="F72" t="str">
        <f t="shared" si="4"/>
        <v>[023 – Falecimento Decorr. de Acidente no Trajeto]</v>
      </c>
    </row>
    <row r="73" spans="2:6" x14ac:dyDescent="0.25">
      <c r="B73" s="1" t="s">
        <v>7</v>
      </c>
      <c r="D73" s="1" t="s">
        <v>7</v>
      </c>
      <c r="E73" s="1" t="s">
        <v>84</v>
      </c>
      <c r="F73" t="str">
        <f t="shared" si="4"/>
        <v>[030 – Aposentadoria por Tempo de Serviço]</v>
      </c>
    </row>
    <row r="74" spans="2:6" x14ac:dyDescent="0.25">
      <c r="B74" s="1" t="s">
        <v>7</v>
      </c>
      <c r="D74" s="1" t="s">
        <v>7</v>
      </c>
      <c r="E74" s="1" t="s">
        <v>85</v>
      </c>
      <c r="F74" t="str">
        <f t="shared" si="4"/>
        <v>[031 – Aposentadoria por Idade]</v>
      </c>
    </row>
    <row r="75" spans="2:6" x14ac:dyDescent="0.25">
      <c r="B75" s="1" t="s">
        <v>7</v>
      </c>
      <c r="D75" s="1" t="s">
        <v>7</v>
      </c>
      <c r="E75" s="1" t="s">
        <v>86</v>
      </c>
      <c r="F75" t="str">
        <f t="shared" si="4"/>
        <v>[032 – Aposentadoria por Invalidez]</v>
      </c>
    </row>
    <row r="76" spans="2:6" x14ac:dyDescent="0.25">
      <c r="B76" s="1" t="s">
        <v>7</v>
      </c>
      <c r="D76" s="1" t="s">
        <v>7</v>
      </c>
      <c r="E76" s="1" t="s">
        <v>87</v>
      </c>
      <c r="F76" t="str">
        <f t="shared" si="4"/>
        <v>[033 – Aposentadoria p/Invalidez Dec.Acid.Trab.]</v>
      </c>
    </row>
    <row r="77" spans="2:6" x14ac:dyDescent="0.25">
      <c r="B77" s="1" t="s">
        <v>7</v>
      </c>
      <c r="D77" s="1" t="s">
        <v>7</v>
      </c>
      <c r="E77" s="1" t="s">
        <v>88</v>
      </c>
      <c r="F77" t="str">
        <f t="shared" si="4"/>
        <v>[034 – Aposentadoria p/Invalidez Dec.Doença Pr.]</v>
      </c>
    </row>
    <row r="78" spans="2:6" x14ac:dyDescent="0.25">
      <c r="B78" s="1" t="s">
        <v>7</v>
      </c>
      <c r="D78" s="1" t="s">
        <v>7</v>
      </c>
      <c r="E78" s="1" t="s">
        <v>89</v>
      </c>
      <c r="F78" t="str">
        <f t="shared" si="4"/>
        <v>[035 - Aposentadoria Compulsória]</v>
      </c>
    </row>
    <row r="79" spans="2:6" x14ac:dyDescent="0.25">
      <c r="B79" s="1" t="s">
        <v>7</v>
      </c>
      <c r="D79" s="1" t="s">
        <v>7</v>
      </c>
      <c r="E79" s="1" t="s">
        <v>90</v>
      </c>
      <c r="F79" t="str">
        <f t="shared" si="4"/>
        <v>[036 - Aposentadoria Especial]</v>
      </c>
    </row>
    <row r="80" spans="2:6" x14ac:dyDescent="0.25">
      <c r="B80" s="1" t="s">
        <v>7</v>
      </c>
      <c r="D80" s="1" t="s">
        <v>7</v>
      </c>
      <c r="E80" s="1" t="s">
        <v>91</v>
      </c>
      <c r="F80" t="str">
        <f t="shared" si="4"/>
        <v>[037 - Termino de Contrato - Estagiário]</v>
      </c>
    </row>
    <row r="81" spans="2:6" x14ac:dyDescent="0.25">
      <c r="B81" s="1" t="s">
        <v>7</v>
      </c>
      <c r="D81" s="1" t="s">
        <v>7</v>
      </c>
      <c r="E81" s="1" t="s">
        <v>92</v>
      </c>
      <c r="F81" t="str">
        <f t="shared" si="4"/>
        <v>[040 - Posse em outro Cargo Inacumulável]</v>
      </c>
    </row>
    <row r="82" spans="2:6" x14ac:dyDescent="0.25">
      <c r="B82" s="1" t="s">
        <v>7</v>
      </c>
      <c r="D82" s="1" t="s">
        <v>7</v>
      </c>
      <c r="E82" s="1" t="s">
        <v>93</v>
      </c>
      <c r="F82" t="str">
        <f t="shared" si="4"/>
        <v>[041 - Rescisão determinada pela Justiça]</v>
      </c>
    </row>
    <row r="83" spans="2:6" x14ac:dyDescent="0.25">
      <c r="B83" s="1" t="s">
        <v>7</v>
      </c>
      <c r="D83" s="1" t="s">
        <v>7</v>
      </c>
      <c r="E83" s="1" t="s">
        <v>94</v>
      </c>
      <c r="F83" t="str">
        <f t="shared" si="4"/>
        <v>[043 - Rescisão por Nulidade do Contrato Trab.]</v>
      </c>
    </row>
    <row r="84" spans="2:6" x14ac:dyDescent="0.25">
      <c r="B84" s="1" t="s">
        <v>7</v>
      </c>
      <c r="D84" s="1" t="s">
        <v>7</v>
      </c>
      <c r="E84" s="1" t="s">
        <v>95</v>
      </c>
      <c r="F84" t="str">
        <f t="shared" si="4"/>
        <v>[044 - Exoneração Diretor Não Empreg. s/J Causa]</v>
      </c>
    </row>
    <row r="85" spans="2:6" x14ac:dyDescent="0.25">
      <c r="B85" s="1" t="s">
        <v>7</v>
      </c>
      <c r="D85" s="1" t="s">
        <v>7</v>
      </c>
      <c r="E85" s="1" t="s">
        <v>96</v>
      </c>
      <c r="F85" t="str">
        <f t="shared" si="4"/>
        <v>[045 - Término de Mandato do Diretor Não Empreg]</v>
      </c>
    </row>
    <row r="86" spans="2:6" x14ac:dyDescent="0.25">
      <c r="B86" s="1" t="s">
        <v>7</v>
      </c>
      <c r="D86" s="1" t="s">
        <v>7</v>
      </c>
      <c r="E86" s="1" t="s">
        <v>97</v>
      </c>
      <c r="F86" t="str">
        <f t="shared" si="4"/>
        <v>[046 - Exoneração a pedido de Diretor Não Empr.]</v>
      </c>
    </row>
    <row r="87" spans="2:6" x14ac:dyDescent="0.25">
      <c r="B87" s="1" t="s">
        <v>7</v>
      </c>
      <c r="D87" s="1" t="s">
        <v>7</v>
      </c>
      <c r="E87" s="1" t="s">
        <v>98</v>
      </c>
      <c r="F87" t="str">
        <f t="shared" si="4"/>
        <v>[047 - Exoneração Diretor Não Empreg. Culpa Rec]</v>
      </c>
    </row>
    <row r="88" spans="2:6" x14ac:dyDescent="0.25">
      <c r="B88" s="1" t="s">
        <v>7</v>
      </c>
      <c r="D88" s="1" t="s">
        <v>7</v>
      </c>
      <c r="E88" s="1" t="s">
        <v>99</v>
      </c>
      <c r="F88" t="str">
        <f t="shared" si="4"/>
        <v>[048 - Morte do Diretor Não Empregado]</v>
      </c>
    </row>
    <row r="89" spans="2:6" x14ac:dyDescent="0.25">
      <c r="B89" s="1" t="s">
        <v>7</v>
      </c>
      <c r="D89" s="1" t="s">
        <v>7</v>
      </c>
      <c r="E89" s="1" t="s">
        <v>100</v>
      </c>
      <c r="F89" t="str">
        <f t="shared" si="4"/>
        <v>[049 - Exoneração Diretor Não Empregado p/Falên]</v>
      </c>
    </row>
    <row r="90" spans="2:6" x14ac:dyDescent="0.25">
      <c r="B90" s="1" t="s">
        <v>7</v>
      </c>
      <c r="D90" s="1" t="s">
        <v>7</v>
      </c>
      <c r="E90" s="1" t="s">
        <v>101</v>
      </c>
      <c r="F90" t="str">
        <f t="shared" si="4"/>
        <v>[1401 - Aprendiz - Término de Contrato]</v>
      </c>
    </row>
    <row r="91" spans="2:6" x14ac:dyDescent="0.25">
      <c r="B91" s="1" t="s">
        <v>7</v>
      </c>
      <c r="D91" s="1" t="s">
        <v>7</v>
      </c>
      <c r="E91" s="1" t="s">
        <v>102</v>
      </c>
      <c r="F91" t="str">
        <f t="shared" si="4"/>
        <v>[1402 - Aprendiz - Implemento da Idade]</v>
      </c>
    </row>
    <row r="92" spans="2:6" x14ac:dyDescent="0.25">
      <c r="B92" s="1" t="s">
        <v>7</v>
      </c>
      <c r="D92" s="1" t="s">
        <v>7</v>
      </c>
      <c r="E92" s="1" t="s">
        <v>103</v>
      </c>
      <c r="F92" t="str">
        <f t="shared" si="4"/>
        <v>[1403 - Aprendiz - Desemp. Insuf. ou Inadaptação]</v>
      </c>
    </row>
    <row r="93" spans="2:6" x14ac:dyDescent="0.25">
      <c r="B93" s="1" t="s">
        <v>7</v>
      </c>
      <c r="D93" s="1" t="s">
        <v>7</v>
      </c>
      <c r="E93" s="1" t="s">
        <v>357</v>
      </c>
      <c r="F93" t="str">
        <f t="shared" si="4"/>
        <v>[1404 - Aprendiz - Falta Disciplinar Grave]</v>
      </c>
    </row>
    <row r="94" spans="2:6" x14ac:dyDescent="0.25">
      <c r="B94" s="1" t="s">
        <v>7</v>
      </c>
      <c r="D94" s="1" t="s">
        <v>7</v>
      </c>
      <c r="E94" s="1" t="s">
        <v>358</v>
      </c>
      <c r="F94" t="str">
        <f t="shared" si="4"/>
        <v>[1405 - Aprendiz - Ausência Injustific. à Escola]</v>
      </c>
    </row>
    <row r="95" spans="2:6" x14ac:dyDescent="0.25">
      <c r="B95" s="1" t="s">
        <v>7</v>
      </c>
      <c r="D95" s="1" t="s">
        <v>7</v>
      </c>
      <c r="E95" s="1" t="s">
        <v>359</v>
      </c>
      <c r="F95" t="str">
        <f t="shared" si="4"/>
        <v>[1406 - Aprendiz - A Pedido do Aprendiz]</v>
      </c>
    </row>
    <row r="96" spans="2:6" x14ac:dyDescent="0.25">
      <c r="B96" s="1" t="s">
        <v>7</v>
      </c>
      <c r="D96" s="1" t="s">
        <v>7</v>
      </c>
      <c r="E96" s="1" t="s">
        <v>360</v>
      </c>
      <c r="F96" t="str">
        <f t="shared" si="4"/>
        <v>[1407 - Aprendiz - Fechamento da Empresa]</v>
      </c>
    </row>
    <row r="97" spans="1:10" x14ac:dyDescent="0.25">
      <c r="B97" s="1" t="s">
        <v>7</v>
      </c>
      <c r="D97" s="1" t="s">
        <v>7</v>
      </c>
      <c r="E97" s="1" t="s">
        <v>361</v>
      </c>
      <c r="F97" t="str">
        <f t="shared" si="4"/>
        <v>[9999 - Outros Motivos de Rescisão]</v>
      </c>
    </row>
    <row r="98" spans="1:10" x14ac:dyDescent="0.25">
      <c r="A98">
        <v>8</v>
      </c>
      <c r="B98" s="1" t="s">
        <v>6</v>
      </c>
      <c r="D98" s="1" t="s">
        <v>8</v>
      </c>
      <c r="E98" s="1" t="s">
        <v>393</v>
      </c>
      <c r="F98" t="str">
        <f t="shared" si="4"/>
        <v>[Vínculo Empregatício]</v>
      </c>
      <c r="G98" t="s">
        <v>341</v>
      </c>
      <c r="H98" t="s">
        <v>394</v>
      </c>
      <c r="I98" t="s">
        <v>792</v>
      </c>
      <c r="J98" t="str">
        <f t="shared" ref="J98:J140" si="5">"LEFT(CAST("&amp;H98&amp;"."&amp;I98&amp;" AS "&amp;G98&amp;"), "&amp;A98*1&amp;") AS "&amp;F98&amp;","</f>
        <v>LEFT(CAST(PFUNC.CODCATEGORIAESOCIAL AS VARCHAR), 8) AS [Vínculo Empregatício],</v>
      </c>
    </row>
    <row r="99" spans="1:10" x14ac:dyDescent="0.25">
      <c r="B99" s="1"/>
      <c r="D99" s="1"/>
      <c r="E99" s="1" t="s">
        <v>362</v>
      </c>
      <c r="F99" t="str">
        <f t="shared" si="4"/>
        <v>[001-CLT - Empregador Pessoa Jurídica, categoria e-Social 101 - Empregado]</v>
      </c>
      <c r="J99" t="str">
        <f t="shared" si="5"/>
        <v>LEFT(CAST(. AS ), 0) AS [001-CLT - Empregador Pessoa Jurídica, categoria e-Social 101 - Empregado],</v>
      </c>
    </row>
    <row r="100" spans="1:10" x14ac:dyDescent="0.25">
      <c r="B100" s="1" t="s">
        <v>7</v>
      </c>
      <c r="D100" s="1" t="s">
        <v>7</v>
      </c>
      <c r="E100" s="1" t="s">
        <v>363</v>
      </c>
      <c r="F100" t="str">
        <f t="shared" si="4"/>
        <v>[– Geral, inclusive o empregado público da administração direta ou indireta
contratado pela CLT]</v>
      </c>
      <c r="J100" t="str">
        <f t="shared" si="5"/>
        <v>LEFT(CAST(. AS ), 0) AS [– Geral, inclusive o empregado público da administração direta ou indireta
contratado pela CLT],</v>
      </c>
    </row>
    <row r="101" spans="1:10" x14ac:dyDescent="0.25">
      <c r="B101" s="1" t="s">
        <v>7</v>
      </c>
      <c r="D101" s="1" t="s">
        <v>7</v>
      </c>
      <c r="E101" s="1" t="s">
        <v>364</v>
      </c>
      <c r="F101" t="str">
        <f t="shared" si="4"/>
        <v>[002 -Aprendiz, categoria e-Social 103 - Empregado – Aprendiz]</v>
      </c>
      <c r="J101" t="str">
        <f t="shared" si="5"/>
        <v>LEFT(CAST(. AS ), 0) AS [002 -Aprendiz, categoria e-Social 103 - Empregado – Aprendiz],</v>
      </c>
    </row>
    <row r="102" spans="1:10" x14ac:dyDescent="0.25">
      <c r="B102" s="1" t="s">
        <v>7</v>
      </c>
      <c r="D102" s="1" t="s">
        <v>7</v>
      </c>
      <c r="E102" s="1" t="s">
        <v>365</v>
      </c>
      <c r="F102" t="str">
        <f t="shared" si="4"/>
        <v>[-003 Trabalhador
Contrato de trabalho intermitenteIntermitente,categoriae-Social111-Empregado-]</v>
      </c>
      <c r="J102" t="str">
        <f t="shared" si="5"/>
        <v>LEFT(CAST(. AS ), 0) AS [-003 Trabalhador
Contrato de trabalho intermitenteIntermitente,categoriae-Social111-Empregado-],</v>
      </c>
    </row>
    <row r="103" spans="1:10" x14ac:dyDescent="0.25">
      <c r="B103" s="1" t="s">
        <v>7</v>
      </c>
      <c r="D103" s="1" t="s">
        <v>7</v>
      </c>
      <c r="E103" s="1" t="s">
        <v>366</v>
      </c>
      <c r="F103" t="str">
        <f t="shared" si="4"/>
        <v>[004 -Estagiário, categoria e-Social 901 - Estagiário]</v>
      </c>
      <c r="J103" t="str">
        <f t="shared" si="5"/>
        <v>LEFT(CAST(. AS ), 0) AS [004 -Estagiário, categoria e-Social 901 - Estagiário],</v>
      </c>
    </row>
    <row r="104" spans="1:10" x14ac:dyDescent="0.25">
      <c r="B104" s="1" t="s">
        <v>7</v>
      </c>
      <c r="D104" s="1" t="s">
        <v>7</v>
      </c>
      <c r="E104" s="1" t="s">
        <v>367</v>
      </c>
      <c r="F104" t="str">
        <f t="shared" si="4"/>
        <v>[006-TrabalhadorTemporário-Lei6.019,categoriae-Social106-]</v>
      </c>
      <c r="J104" t="str">
        <f t="shared" si="5"/>
        <v>LEFT(CAST(. AS ), 0) AS [006-TrabalhadorTemporário-Lei6.019,categoriae-Social106-],</v>
      </c>
    </row>
    <row r="105" spans="1:10" x14ac:dyDescent="0.25">
      <c r="B105" s="1"/>
      <c r="D105" s="1"/>
      <c r="E105" s="1" t="s">
        <v>368</v>
      </c>
      <c r="F105" t="str">
        <f t="shared" si="4"/>
        <v>[Trabalhador Temporário - contrato nos termos da Lei 6.019/74]</v>
      </c>
      <c r="J105" t="str">
        <f t="shared" si="5"/>
        <v>LEFT(CAST(. AS ), 0) AS [Trabalhador Temporário - contrato nos termos da Lei 6.019/74],</v>
      </c>
    </row>
    <row r="106" spans="1:10" x14ac:dyDescent="0.25">
      <c r="B106" s="1" t="s">
        <v>7</v>
      </c>
      <c r="D106" s="1" t="s">
        <v>7</v>
      </c>
      <c r="E106" s="1" t="s">
        <v>369</v>
      </c>
      <c r="F106" t="str">
        <f t="shared" si="4"/>
        <v>[007-TrabalhadorTemporário-Lei9.601,categoriae-Social105-]</v>
      </c>
      <c r="J106" t="str">
        <f t="shared" si="5"/>
        <v>LEFT(CAST(. AS ), 0) AS [007-TrabalhadorTemporário-Lei9.601,categoriae-Social105-],</v>
      </c>
    </row>
    <row r="107" spans="1:10" x14ac:dyDescent="0.25">
      <c r="B107" s="1"/>
      <c r="D107" s="1"/>
      <c r="E107" s="1" t="s">
        <v>370</v>
      </c>
      <c r="F107" t="str">
        <f t="shared" si="4"/>
        <v>[Empregado – contrato a termo firmado nos termos da Lei 9601/98]</v>
      </c>
      <c r="J107" t="str">
        <f t="shared" si="5"/>
        <v>LEFT(CAST(. AS ), 0) AS [Empregado – contrato a termo firmado nos termos da Lei 9601/98],</v>
      </c>
    </row>
    <row r="108" spans="1:10" x14ac:dyDescent="0.25">
      <c r="B108" s="1"/>
      <c r="D108" s="1"/>
      <c r="E108" s="1" t="s">
        <v>371</v>
      </c>
      <c r="F108" t="str">
        <f t="shared" si="4"/>
        <v>[008 - CLT - Prazo Determinado Fixo ou Obra Certa, categoria e-Social 101 -]</v>
      </c>
      <c r="J108" t="str">
        <f t="shared" si="5"/>
        <v>LEFT(CAST(. AS ), 0) AS [008 - CLT - Prazo Determinado Fixo ou Obra Certa, categoria e-Social 101 -],</v>
      </c>
    </row>
    <row r="109" spans="1:10" x14ac:dyDescent="0.25">
      <c r="B109" s="1" t="s">
        <v>7</v>
      </c>
      <c r="D109" s="1" t="s">
        <v>7</v>
      </c>
      <c r="E109" s="1" t="s">
        <v>372</v>
      </c>
      <c r="F109" t="str">
        <f t="shared" si="4"/>
        <v>[Empregado – Geral, inclusive o empregado público da administração direta
ou indireta contratado pela CLT]</v>
      </c>
      <c r="J109" t="str">
        <f t="shared" si="5"/>
        <v>LEFT(CAST(. AS ), 0) AS [Empregado – Geral, inclusive o empregado público da administração direta
ou indireta contratado pela CLT],</v>
      </c>
    </row>
    <row r="110" spans="1:10" x14ac:dyDescent="0.25">
      <c r="B110" s="1"/>
      <c r="D110" s="1"/>
      <c r="E110" s="1" t="s">
        <v>373</v>
      </c>
      <c r="F110" t="str">
        <f t="shared" si="4"/>
        <v>[009 - Trabalhador Rural - Empregador Pessoa Jurídica, categoria e-Social]</v>
      </c>
      <c r="J110" t="str">
        <f t="shared" si="5"/>
        <v>LEFT(CAST(. AS ), 0) AS [009 - Trabalhador Rural - Empregador Pessoa Jurídica, categoria e-Social],</v>
      </c>
    </row>
    <row r="111" spans="1:10" x14ac:dyDescent="0.25">
      <c r="B111" s="1" t="s">
        <v>7</v>
      </c>
      <c r="D111" s="1" t="s">
        <v>7</v>
      </c>
      <c r="E111" s="1" t="s">
        <v>374</v>
      </c>
      <c r="F111" t="str">
        <f t="shared" si="4"/>
        <v>[101 -Empregado – Geral, inclusive o empregado público da administração
direta ou indireta contratado pela CLT]</v>
      </c>
      <c r="J111" t="str">
        <f t="shared" si="5"/>
        <v>LEFT(CAST(. AS ), 0) AS [101 -Empregado – Geral, inclusive o empregado público da administração
direta ou indireta contratado pela CLT],</v>
      </c>
    </row>
    <row r="112" spans="1:10" x14ac:dyDescent="0.25">
      <c r="B112" s="1" t="s">
        <v>7</v>
      </c>
      <c r="D112" s="1" t="s">
        <v>7</v>
      </c>
      <c r="E112" s="1" t="s">
        <v>375</v>
      </c>
      <c r="F112" t="str">
        <f t="shared" si="4"/>
        <v>[- Prazo Lei 11.718/2008, categoria e-Social 101 - 010 - Trabalhador Rural
Empregado – Geral, inclusive o empregado público da administração direta
ou indireta contratado pela CLT]</v>
      </c>
      <c r="J112" t="str">
        <f t="shared" si="5"/>
        <v>LEFT(CAST(. AS ), 0) AS [- Prazo Lei 11.718/2008, categoria e-Social 101 - 010 - Trabalhador Rural
Empregado – Geral, inclusive o empregado público da administração direta
ou indireta contratado pela CLT],</v>
      </c>
    </row>
    <row r="113" spans="2:10" x14ac:dyDescent="0.25">
      <c r="B113" s="1" t="s">
        <v>7</v>
      </c>
      <c r="D113" s="1" t="s">
        <v>7</v>
      </c>
      <c r="E113" s="1" t="s">
        <v>376</v>
      </c>
      <c r="F113" t="str">
        <f t="shared" si="4"/>
        <v>[012- Contrato
categoria e-Social 107 -Empregado - Contrato de trabalho Verde e Amarelo
- sem acordo para antecipação mensal da multa rescisória do FGTSdeTrabalhoVerdeeAmarelosemMultaFGTSMensal,]</v>
      </c>
      <c r="J113" t="str">
        <f t="shared" si="5"/>
        <v>LEFT(CAST(. AS ), 0) AS [012- Contrato
categoria e-Social 107 -Empregado - Contrato de trabalho Verde e Amarelo
- sem acordo para antecipação mensal da multa rescisória do FGTSdeTrabalhoVerdeeAmarelosemMultaFGTSMensal,],</v>
      </c>
    </row>
    <row r="114" spans="2:10" x14ac:dyDescent="0.25">
      <c r="B114" s="1" t="s">
        <v>7</v>
      </c>
      <c r="D114" s="1" t="s">
        <v>7</v>
      </c>
      <c r="E114" s="1" t="s">
        <v>377</v>
      </c>
      <c r="F114" t="str">
        <f t="shared" si="4"/>
        <v>[013- Contrato
categoria e-Social 108 -Empregado - Contrato de trabalho Verde e Amarelo
- com acordo para antecipação mensal da multa rescisória do FGTSdeTrabalhoVerdeeAmarelocomMultaFGTSMensal,]</v>
      </c>
      <c r="J114" t="str">
        <f t="shared" si="5"/>
        <v>LEFT(CAST(. AS ), 0) AS [013- Contrato
categoria e-Social 108 -Empregado - Contrato de trabalho Verde e Amarelo
- com acordo para antecipação mensal da multa rescisória do FGTSdeTrabalhoVerdeeAmarelocomMultaFGTSMensal,],</v>
      </c>
    </row>
    <row r="115" spans="2:10" x14ac:dyDescent="0.25">
      <c r="B115" s="1" t="s">
        <v>7</v>
      </c>
      <c r="D115" s="1" t="s">
        <v>7</v>
      </c>
      <c r="E115" s="1" t="s">
        <v>378</v>
      </c>
      <c r="F115" t="str">
        <f t="shared" si="4"/>
        <v>[-014 Trabalhador
Avulso PortuárioAvulsoPortuário, categoria e-Social 201 -Trabalhador]</v>
      </c>
      <c r="J115" t="str">
        <f t="shared" si="5"/>
        <v>LEFT(CAST(. AS ), 0) AS [-014 Trabalhador
Avulso PortuárioAvulsoPortuário, categoria e-Social 201 -Trabalhador],</v>
      </c>
    </row>
    <row r="116" spans="2:10" x14ac:dyDescent="0.25">
      <c r="B116" s="1" t="s">
        <v>7</v>
      </c>
      <c r="D116" s="1" t="s">
        <v>7</v>
      </c>
      <c r="E116" s="1" t="s">
        <v>379</v>
      </c>
      <c r="F116" t="str">
        <f t="shared" si="4"/>
        <v>[-015 Trabalhador
Trabalhador Avulso Não PortuárioAvulsoNãoPortuário,categoriae-Social202-]</v>
      </c>
      <c r="J116" t="str">
        <f t="shared" si="5"/>
        <v>LEFT(CAST(. AS ), 0) AS [-015 Trabalhador
Trabalhador Avulso Não PortuárioAvulsoNãoPortuário,categoriae-Social202-],</v>
      </c>
    </row>
    <row r="117" spans="2:10" x14ac:dyDescent="0.25">
      <c r="B117" s="1" t="s">
        <v>7</v>
      </c>
      <c r="D117" s="1" t="s">
        <v>7</v>
      </c>
      <c r="E117" s="1" t="s">
        <v>380</v>
      </c>
      <c r="F117" t="str">
        <f t="shared" si="4"/>
        <v>[101 - Diretor sem FGTS - Sócio, categoria do e-Social 723 - Contribuinte
individual – empresários, sócios e membro de conselho de administração ou
fiscal]</v>
      </c>
      <c r="J117" t="str">
        <f t="shared" si="5"/>
        <v>LEFT(CAST(. AS ), 0) AS [101 - Diretor sem FGTS - Sócio, categoria do e-Social 723 - Contribuinte
individual – empresários, sócios e membro de conselho de administração ou
fiscal],</v>
      </c>
    </row>
    <row r="118" spans="2:10" x14ac:dyDescent="0.25">
      <c r="B118" s="1" t="s">
        <v>7</v>
      </c>
      <c r="D118" s="1" t="s">
        <v>7</v>
      </c>
      <c r="E118" s="1" t="s">
        <v>381</v>
      </c>
      <c r="F118" t="str">
        <f t="shared" si="4"/>
        <v>[102 - Diretor com FGTS - Sócio, categoria do e-Social 723 - Contribuinte]</v>
      </c>
      <c r="J118" t="str">
        <f t="shared" si="5"/>
        <v>LEFT(CAST(. AS ), 0) AS [102 - Diretor com FGTS - Sócio, categoria do e-Social 723 - Contribuinte],</v>
      </c>
    </row>
    <row r="119" spans="2:10" x14ac:dyDescent="0.25">
      <c r="B119" s="1"/>
      <c r="D119" s="1"/>
      <c r="E119" s="1" t="s">
        <v>382</v>
      </c>
      <c r="F119" t="str">
        <f t="shared" si="4"/>
        <v>[individual – empresários, sócios e membro de conselho de administração ou]</v>
      </c>
      <c r="J119" t="str">
        <f t="shared" si="5"/>
        <v>LEFT(CAST(. AS ), 0) AS [individual – empresários, sócios e membro de conselho de administração ou],</v>
      </c>
    </row>
    <row r="120" spans="2:10" x14ac:dyDescent="0.25">
      <c r="B120" s="1"/>
      <c r="D120" s="1"/>
      <c r="E120" s="1" t="s">
        <v>383</v>
      </c>
      <c r="F120" t="str">
        <f t="shared" si="4"/>
        <v>[fiscal]</v>
      </c>
      <c r="J120" t="str">
        <f t="shared" si="5"/>
        <v>LEFT(CAST(. AS ), 0) AS [fiscal],</v>
      </c>
    </row>
    <row r="121" spans="2:10" x14ac:dyDescent="0.25">
      <c r="B121" s="1" t="s">
        <v>7</v>
      </c>
      <c r="D121" s="1" t="s">
        <v>7</v>
      </c>
      <c r="E121" s="1" t="s">
        <v>384</v>
      </c>
      <c r="F121" t="str">
        <f t="shared" si="4"/>
        <v>[103 - Diretor sem FGTS - Não Sócio, categoria e-social 722 - Contribuinte]</v>
      </c>
      <c r="J121" t="str">
        <f t="shared" si="5"/>
        <v>LEFT(CAST(. AS ), 0) AS [103 - Diretor sem FGTS - Não Sócio, categoria e-social 722 - Contribuinte],</v>
      </c>
    </row>
    <row r="122" spans="2:10" x14ac:dyDescent="0.25">
      <c r="B122" s="1"/>
      <c r="D122" s="1"/>
      <c r="E122" s="1" t="s">
        <v>385</v>
      </c>
      <c r="F122" t="str">
        <f t="shared" si="4"/>
        <v>[individual – Diretor não empregado, sem FGTS]</v>
      </c>
      <c r="J122" t="str">
        <f t="shared" si="5"/>
        <v>LEFT(CAST(. AS ), 0) AS [individual – Diretor não empregado, sem FGTS],</v>
      </c>
    </row>
    <row r="123" spans="2:10" x14ac:dyDescent="0.25">
      <c r="B123" s="1" t="s">
        <v>7</v>
      </c>
      <c r="D123" s="1" t="s">
        <v>7</v>
      </c>
      <c r="E123" s="1" t="s">
        <v>386</v>
      </c>
      <c r="F123" t="str">
        <f t="shared" si="4"/>
        <v>[104 - Diretor com FGTS - Não Sócio, categoria e-Social 721 - Contribuinte]</v>
      </c>
      <c r="J123" t="str">
        <f t="shared" si="5"/>
        <v>LEFT(CAST(. AS ), 0) AS [104 - Diretor com FGTS - Não Sócio, categoria e-Social 721 - Contribuinte],</v>
      </c>
    </row>
    <row r="124" spans="2:10" x14ac:dyDescent="0.25">
      <c r="B124" s="1"/>
      <c r="D124" s="1"/>
      <c r="E124" s="1" t="s">
        <v>387</v>
      </c>
      <c r="F124" t="str">
        <f t="shared" si="4"/>
        <v>[individual – Diretor não empregado, com FGTS]</v>
      </c>
      <c r="J124" t="str">
        <f t="shared" si="5"/>
        <v>LEFT(CAST(. AS ), 0) AS [individual – Diretor não empregado, com FGTS],</v>
      </c>
    </row>
    <row r="125" spans="2:10" x14ac:dyDescent="0.25">
      <c r="B125" s="1" t="s">
        <v>7</v>
      </c>
      <c r="D125" s="1" t="s">
        <v>7</v>
      </c>
      <c r="E125" s="1" t="s">
        <v>388</v>
      </c>
      <c r="F125" t="str">
        <f t="shared" si="4"/>
        <v>[201-Autônomo,categoriae-Social701-Contribuinteindividual–]</v>
      </c>
      <c r="J125" t="str">
        <f t="shared" si="5"/>
        <v>LEFT(CAST(. AS ), 0) AS [201-Autônomo,categoriae-Social701-Contribuinteindividual–],</v>
      </c>
    </row>
    <row r="126" spans="2:10" x14ac:dyDescent="0.25">
      <c r="B126" s="1"/>
      <c r="D126" s="1"/>
      <c r="E126" s="1" t="s">
        <v>389</v>
      </c>
      <c r="F126" t="str">
        <f t="shared" si="4"/>
        <v>[Autô nomo em geral, exceto se enquadrado em uma das demais categorias
de contribuinte individual]</v>
      </c>
      <c r="J126" t="str">
        <f t="shared" si="5"/>
        <v>LEFT(CAST(. AS ), 0) AS [Autô nomo em geral, exceto se enquadrado em uma das demais categorias
de contribuinte individual],</v>
      </c>
    </row>
    <row r="127" spans="2:10" x14ac:dyDescent="0.25">
      <c r="B127" s="1"/>
      <c r="D127" s="1"/>
      <c r="E127" s="1" t="s">
        <v>390</v>
      </c>
      <c r="F127" t="str">
        <f t="shared" si="4"/>
        <v>[202-Freteiro-Carga,categoriae-Social712-Contribuinteindividual–]</v>
      </c>
      <c r="J127" t="str">
        <f t="shared" si="5"/>
        <v>LEFT(CAST(. AS ), 0) AS [202-Freteiro-Carga,categoriae-Social712-Contribuinteindividual–],</v>
      </c>
    </row>
    <row r="128" spans="2:10" x14ac:dyDescent="0.25">
      <c r="B128" s="1" t="s">
        <v>7</v>
      </c>
      <c r="D128" s="1" t="s">
        <v>7</v>
      </c>
      <c r="E128" s="1" t="s">
        <v>104</v>
      </c>
      <c r="F128" t="str">
        <f t="shared" si="4"/>
        <v>[Transportador autônomo de carga]</v>
      </c>
      <c r="J128" t="str">
        <f t="shared" si="5"/>
        <v>LEFT(CAST(. AS ), 0) AS [Transportador autônomo de carga],</v>
      </c>
    </row>
    <row r="129" spans="1:10" x14ac:dyDescent="0.25">
      <c r="B129" s="1" t="s">
        <v>7</v>
      </c>
      <c r="D129" s="1" t="s">
        <v>7</v>
      </c>
      <c r="E129" s="1" t="s">
        <v>105</v>
      </c>
      <c r="F129" t="str">
        <f t="shared" si="4"/>
        <v>[203 - Freteiro - Passageiros, categoria e-Social 711 - Contribuinte individual
– Transportador autônomo de passageiros]</v>
      </c>
      <c r="J129" t="str">
        <f t="shared" si="5"/>
        <v>LEFT(CAST(. AS ), 0) AS [203 - Freteiro - Passageiros, categoria e-Social 711 - Contribuinte individual
– Transportador autônomo de passageiros],</v>
      </c>
    </row>
    <row r="130" spans="1:10" x14ac:dyDescent="0.25">
      <c r="B130" s="1" t="s">
        <v>7</v>
      </c>
      <c r="D130" s="1" t="s">
        <v>7</v>
      </c>
      <c r="E130" s="1" t="s">
        <v>106</v>
      </c>
      <c r="F130" t="str">
        <f t="shared" si="4"/>
        <v>[204 - Cooperado - Presta Serviços à Entidade.Beneficente, categoria e-Social
731 - Contribuinte individual – Cooperado que presta serviços por
intermédio de Cooperativa de Trabalho]</v>
      </c>
      <c r="J130" t="str">
        <f t="shared" si="5"/>
        <v>LEFT(CAST(. AS ), 0) AS [204 - Cooperado - Presta Serviços à Entidade.Beneficente, categoria e-Social
731 - Contribuinte individual – Cooperado que presta serviços por
intermédio de Cooperativa de Trabalho],</v>
      </c>
    </row>
    <row r="131" spans="1:10" x14ac:dyDescent="0.25">
      <c r="B131" s="1" t="s">
        <v>7</v>
      </c>
      <c r="D131" s="1" t="s">
        <v>7</v>
      </c>
      <c r="E131" s="1" t="s">
        <v>107</v>
      </c>
      <c r="F131" t="str">
        <f t="shared" ref="F131:F140" si="6">"["&amp;E131&amp;"]"</f>
        <v>[205 - Freteiro Cooperado - Presta Serviço Entidade Beneficente, categoria
e-Social 734 - Contribuinte individual – Transportador Cooperado que presta
serviços por intermédio de cooperativa de trabalho]</v>
      </c>
      <c r="J131" t="str">
        <f t="shared" si="5"/>
        <v>LEFT(CAST(. AS ), 0) AS [205 - Freteiro Cooperado - Presta Serviço Entidade Beneficente, categoria
e-Social 734 - Contribuinte individual – Transportador Cooperado que presta
serviços por intermédio de cooperativa de trabalho],</v>
      </c>
    </row>
    <row r="132" spans="1:10" x14ac:dyDescent="0.25">
      <c r="B132" s="1" t="s">
        <v>7</v>
      </c>
      <c r="D132" s="1" t="s">
        <v>7</v>
      </c>
      <c r="E132" s="1" t="s">
        <v>108</v>
      </c>
      <c r="F132" t="str">
        <f t="shared" si="6"/>
        <v>[206 - Médico Residente, categoria e-Social 902 - Médico Residente]</v>
      </c>
      <c r="J132" t="str">
        <f t="shared" si="5"/>
        <v>LEFT(CAST(. AS ), 0) AS [206 - Médico Residente, categoria e-Social 902 - Médico Residente],</v>
      </c>
    </row>
    <row r="133" spans="1:10" x14ac:dyDescent="0.25">
      <c r="B133" s="1" t="s">
        <v>7</v>
      </c>
      <c r="D133" s="1" t="s">
        <v>7</v>
      </c>
      <c r="E133" s="1" t="s">
        <v>109</v>
      </c>
      <c r="F133" t="str">
        <f t="shared" si="6"/>
        <v>[207 - MEI - Microempreendedor Individual, categoria e-Social 741 -Contribuinte individual - Microempreendedor Individual]</v>
      </c>
      <c r="J133" t="str">
        <f t="shared" si="5"/>
        <v>LEFT(CAST(. AS ), 0) AS [207 - MEI - Microempreendedor Individual, categoria e-Social 741 -Contribuinte individual - Microempreendedor Individual],</v>
      </c>
    </row>
    <row r="134" spans="1:10" x14ac:dyDescent="0.25">
      <c r="B134" s="1" t="s">
        <v>7</v>
      </c>
      <c r="D134" s="1" t="s">
        <v>7</v>
      </c>
      <c r="E134" s="1" t="s">
        <v>110</v>
      </c>
      <c r="F134" t="str">
        <f t="shared" si="6"/>
        <v>[301 - Empregado(a) Doméstico(a), categoria e-Social 104 - Empregado-Doméstico]</v>
      </c>
      <c r="J134" t="str">
        <f t="shared" si="5"/>
        <v>LEFT(CAST(. AS ), 0) AS [301 - Empregado(a) Doméstico(a), categoria e-Social 104 - Empregado-Doméstico],</v>
      </c>
    </row>
    <row r="135" spans="1:10" x14ac:dyDescent="0.25">
      <c r="B135" s="1" t="s">
        <v>7</v>
      </c>
      <c r="D135" s="1" t="s">
        <v>7</v>
      </c>
      <c r="E135" s="1" t="s">
        <v>111</v>
      </c>
      <c r="F135" t="str">
        <f t="shared" si="6"/>
        <v>[302 - CLT - Empregador Pessoa Física, categoria e-Social 101 -Empregado
– Geral, inclusive o empregado público da administração direta ou indireta
contratado pela CLT]</v>
      </c>
      <c r="J135" t="str">
        <f t="shared" si="5"/>
        <v>LEFT(CAST(. AS ), 0) AS [302 - CLT - Empregador Pessoa Física, categoria e-Social 101 -Empregado
– Geral, inclusive o empregado público da administração direta ou indireta
contratado pela CLT],</v>
      </c>
    </row>
    <row r="136" spans="1:10" x14ac:dyDescent="0.25">
      <c r="B136" s="1" t="s">
        <v>7</v>
      </c>
      <c r="D136" s="1" t="s">
        <v>7</v>
      </c>
      <c r="E136" s="1" t="s">
        <v>112</v>
      </c>
      <c r="F136" t="str">
        <f t="shared" si="6"/>
        <v>[303 - Autônomo - Empregador Pessoa Física, categoria e-Social 701 -Contribuinte – Autônomo em geral, exceto se enquadrado em individual
uma das demais categorias de contribuinte individual]</v>
      </c>
      <c r="J136" t="str">
        <f t="shared" si="5"/>
        <v>LEFT(CAST(. AS ), 0) AS [303 - Autônomo - Empregador Pessoa Física, categoria e-Social 701 -Contribuinte – Autônomo em geral, exceto se enquadrado em individual
uma das demais categorias de contribuinte individual],</v>
      </c>
    </row>
    <row r="137" spans="1:10" x14ac:dyDescent="0.25">
      <c r="B137" s="1" t="s">
        <v>7</v>
      </c>
      <c r="D137" s="1" t="s">
        <v>7</v>
      </c>
      <c r="E137" s="1" t="s">
        <v>113</v>
      </c>
      <c r="F137" t="str">
        <f t="shared" si="6"/>
        <v>[304 - Freteiro - Empregador Pessoa Física - Passageiros, categoria e-Social
711 - Contribuinte individual – Transportador autônomo de passageiros]</v>
      </c>
      <c r="J137" t="str">
        <f t="shared" si="5"/>
        <v>LEFT(CAST(. AS ), 0) AS [304 - Freteiro - Empregador Pessoa Física - Passageiros, categoria e-Social
711 - Contribuinte individual – Transportador autônomo de passageiros],</v>
      </c>
    </row>
    <row r="138" spans="1:10" x14ac:dyDescent="0.25">
      <c r="B138" s="1" t="s">
        <v>7</v>
      </c>
      <c r="D138" s="1" t="s">
        <v>7</v>
      </c>
      <c r="E138" s="1" t="s">
        <v>114</v>
      </c>
      <c r="F138" t="str">
        <f t="shared" si="6"/>
        <v>[305 - Freteiro - Empregador Pessoa Física - Cargas, categoria e-Social 712
- Contribuinte individual – Transportador autônomo de carga]</v>
      </c>
      <c r="J138" t="str">
        <f t="shared" si="5"/>
        <v>LEFT(CAST(. AS ), 0) AS [305 - Freteiro - Empregador Pessoa Física - Cargas, categoria e-Social 712
- Contribuinte individual – Transportador autônomo de carga],</v>
      </c>
    </row>
    <row r="139" spans="1:10" x14ac:dyDescent="0.25">
      <c r="B139" s="1" t="s">
        <v>7</v>
      </c>
      <c r="D139" s="1" t="s">
        <v>7</v>
      </c>
      <c r="E139" s="1" t="s">
        <v>115</v>
      </c>
      <c r="F139" t="str">
        <f t="shared" si="6"/>
        <v>[306 - Trabalhador Rural - Empregador Pessoa Física, categoria e-Social 101
-Empregado – Geral, inclusive o empregado público da administração direta
ou indireta contratado pela CLT]</v>
      </c>
      <c r="J139" t="str">
        <f t="shared" si="5"/>
        <v>LEFT(CAST(. AS ), 0) AS [306 - Trabalhador Rural - Empregador Pessoa Física, categoria e-Social 101
-Empregado – Geral, inclusive o empregado público da administração direta
ou indireta contratado pela CLT],</v>
      </c>
    </row>
    <row r="140" spans="1:10" x14ac:dyDescent="0.25">
      <c r="A140">
        <v>1</v>
      </c>
      <c r="B140" s="1" t="s">
        <v>6</v>
      </c>
      <c r="D140" s="1" t="s">
        <v>8</v>
      </c>
      <c r="E140" s="1" t="s">
        <v>116</v>
      </c>
      <c r="F140" t="str">
        <f t="shared" si="6"/>
        <v>[Tipo de Admissão para o eSocial]</v>
      </c>
      <c r="J140" t="str">
        <f>"'' AS "&amp;F140&amp;","</f>
        <v>'' AS [Tipo de Admissão para o eSocial],</v>
      </c>
    </row>
    <row r="141" spans="1:10" x14ac:dyDescent="0.25">
      <c r="B141" s="1" t="s">
        <v>7</v>
      </c>
      <c r="D141" s="1" t="s">
        <v>7</v>
      </c>
      <c r="E141" s="1" t="s">
        <v>117</v>
      </c>
    </row>
    <row r="142" spans="1:10" x14ac:dyDescent="0.25">
      <c r="B142" s="1" t="s">
        <v>7</v>
      </c>
      <c r="D142" s="1" t="s">
        <v>7</v>
      </c>
      <c r="E142" s="1" t="s">
        <v>118</v>
      </c>
    </row>
    <row r="143" spans="1:10" x14ac:dyDescent="0.25">
      <c r="B143" s="1" t="s">
        <v>7</v>
      </c>
      <c r="D143" s="1" t="s">
        <v>7</v>
      </c>
      <c r="E143" s="1" t="s">
        <v>119</v>
      </c>
    </row>
    <row r="144" spans="1:10" x14ac:dyDescent="0.25">
      <c r="B144" s="1" t="s">
        <v>7</v>
      </c>
      <c r="D144" s="1" t="s">
        <v>7</v>
      </c>
      <c r="E144" s="1" t="s">
        <v>120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62978-AB21-4133-8489-1B4FA792F34F}">
  <sheetPr>
    <tabColor rgb="FFFFFF00"/>
  </sheetPr>
  <dimension ref="A1:J4"/>
  <sheetViews>
    <sheetView workbookViewId="0">
      <selection activeCell="J1" sqref="F1:J1"/>
    </sheetView>
  </sheetViews>
  <sheetFormatPr defaultRowHeight="15" x14ac:dyDescent="0.25"/>
  <cols>
    <col min="1" max="1" width="6.140625" bestFit="1" customWidth="1"/>
    <col min="2" max="2" width="4.28515625" bestFit="1" customWidth="1"/>
    <col min="3" max="3" width="4.5703125" bestFit="1" customWidth="1"/>
    <col min="4" max="4" width="7.5703125" bestFit="1" customWidth="1"/>
    <col min="5" max="5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334</v>
      </c>
      <c r="G1" t="s">
        <v>340</v>
      </c>
      <c r="H1" t="s">
        <v>337</v>
      </c>
      <c r="I1" t="s">
        <v>335</v>
      </c>
      <c r="J1" t="s">
        <v>339</v>
      </c>
    </row>
    <row r="2" spans="1:10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t="str">
        <f>"["&amp;E2&amp;"]"</f>
        <v>[Código do Cargo]</v>
      </c>
      <c r="G2" t="s">
        <v>341</v>
      </c>
      <c r="H2" t="s">
        <v>336</v>
      </c>
      <c r="I2" t="s">
        <v>338</v>
      </c>
      <c r="J2" t="str">
        <f>"LEFT(CAST("&amp;H2&amp;"."&amp;I2&amp;" AS "&amp;G2&amp;"), "&amp;A2*1&amp;") AS "&amp;F2&amp;","</f>
        <v>LEFT(CAST(PFUNCAO.CODIGO AS VARCHAR), 8) AS [Código do Cargo],</v>
      </c>
    </row>
    <row r="3" spans="1:10" x14ac:dyDescent="0.25">
      <c r="A3" s="1" t="s">
        <v>10</v>
      </c>
      <c r="B3" s="1" t="s">
        <v>6</v>
      </c>
      <c r="C3" s="1" t="s">
        <v>7</v>
      </c>
      <c r="D3" s="1" t="s">
        <v>8</v>
      </c>
      <c r="E3" s="1" t="s">
        <v>11</v>
      </c>
      <c r="F3" t="str">
        <f t="shared" ref="F3:F4" si="0">"["&amp;E3&amp;"]"</f>
        <v>[Descrição do Cargo]</v>
      </c>
      <c r="G3" t="s">
        <v>341</v>
      </c>
      <c r="H3" t="s">
        <v>336</v>
      </c>
      <c r="I3" t="s">
        <v>344</v>
      </c>
      <c r="J3" t="str">
        <f t="shared" ref="J3:J4" si="1">"LEFT(CAST("&amp;H3&amp;"."&amp;I3&amp;" AS "&amp;G3&amp;"), "&amp;A3*1&amp;") AS "&amp;F3&amp;","</f>
        <v>LEFT(CAST(PFUNCAO.NOME AS VARCHAR), 40) AS [Descrição do Cargo],</v>
      </c>
    </row>
    <row r="4" spans="1:10" x14ac:dyDescent="0.25">
      <c r="A4" s="1" t="s">
        <v>12</v>
      </c>
      <c r="B4" s="1" t="s">
        <v>6</v>
      </c>
      <c r="C4" s="1" t="s">
        <v>7</v>
      </c>
      <c r="D4" s="1" t="s">
        <v>8</v>
      </c>
      <c r="E4" s="1" t="s">
        <v>13</v>
      </c>
      <c r="F4" t="str">
        <f t="shared" si="0"/>
        <v>[CBO]</v>
      </c>
      <c r="G4" t="s">
        <v>341</v>
      </c>
      <c r="H4" t="s">
        <v>336</v>
      </c>
      <c r="I4" t="s">
        <v>343</v>
      </c>
      <c r="J4" t="str">
        <f t="shared" si="1"/>
        <v>LEFT(CAST(PFUNCAO.CBO2002 AS VARCHAR), 6) AS [CBO],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F3DA-54E2-4741-86F9-6B470B8650C3}">
  <dimension ref="A1:G321"/>
  <sheetViews>
    <sheetView topLeftCell="A24" workbookViewId="0">
      <selection activeCell="B30" sqref="B30"/>
    </sheetView>
  </sheetViews>
  <sheetFormatPr defaultRowHeight="13.5" x14ac:dyDescent="0.2"/>
  <cols>
    <col min="1" max="1" width="26.5703125" style="15" bestFit="1" customWidth="1"/>
    <col min="2" max="2" width="57.85546875" style="4" bestFit="1" customWidth="1"/>
    <col min="3" max="3" width="6.140625" style="4" customWidth="1"/>
    <col min="4" max="16384" width="9.140625" style="4"/>
  </cols>
  <sheetData>
    <row r="1" spans="1:2" x14ac:dyDescent="0.2">
      <c r="A1" s="3" t="s">
        <v>399</v>
      </c>
    </row>
    <row r="2" spans="1:2" x14ac:dyDescent="0.2">
      <c r="A2" s="5">
        <v>11</v>
      </c>
      <c r="B2" s="4" t="s">
        <v>400</v>
      </c>
    </row>
    <row r="3" spans="1:2" x14ac:dyDescent="0.2">
      <c r="A3" s="5">
        <v>21</v>
      </c>
      <c r="B3" s="4" t="s">
        <v>401</v>
      </c>
    </row>
    <row r="4" spans="1:2" x14ac:dyDescent="0.2">
      <c r="A4" s="5">
        <v>22</v>
      </c>
      <c r="B4" s="4" t="s">
        <v>402</v>
      </c>
    </row>
    <row r="5" spans="1:2" x14ac:dyDescent="0.2">
      <c r="A5" s="5">
        <v>31</v>
      </c>
      <c r="B5" s="4" t="s">
        <v>403</v>
      </c>
    </row>
    <row r="6" spans="1:2" x14ac:dyDescent="0.2">
      <c r="A6" s="5">
        <v>32</v>
      </c>
      <c r="B6" s="4" t="s">
        <v>404</v>
      </c>
    </row>
    <row r="7" spans="1:2" x14ac:dyDescent="0.2">
      <c r="A7" s="5">
        <v>33</v>
      </c>
      <c r="B7" s="4" t="s">
        <v>405</v>
      </c>
    </row>
    <row r="8" spans="1:2" x14ac:dyDescent="0.2">
      <c r="A8" s="5">
        <v>41</v>
      </c>
      <c r="B8" s="4" t="s">
        <v>406</v>
      </c>
    </row>
    <row r="9" spans="1:2" x14ac:dyDescent="0.2">
      <c r="A9" s="5">
        <v>51</v>
      </c>
      <c r="B9" s="4" t="s">
        <v>407</v>
      </c>
    </row>
    <row r="10" spans="1:2" x14ac:dyDescent="0.2">
      <c r="A10" s="5">
        <v>52</v>
      </c>
      <c r="B10" s="4" t="s">
        <v>408</v>
      </c>
    </row>
    <row r="11" spans="1:2" x14ac:dyDescent="0.2">
      <c r="A11" s="5">
        <v>61</v>
      </c>
      <c r="B11" s="4" t="s">
        <v>409</v>
      </c>
    </row>
    <row r="12" spans="1:2" x14ac:dyDescent="0.2">
      <c r="A12" s="5">
        <v>71</v>
      </c>
      <c r="B12" s="4" t="s">
        <v>410</v>
      </c>
    </row>
    <row r="13" spans="1:2" x14ac:dyDescent="0.2">
      <c r="A13" s="5">
        <v>81</v>
      </c>
      <c r="B13" s="4" t="s">
        <v>411</v>
      </c>
    </row>
    <row r="14" spans="1:2" x14ac:dyDescent="0.2">
      <c r="A14" s="5">
        <v>91</v>
      </c>
      <c r="B14" s="4" t="s">
        <v>412</v>
      </c>
    </row>
    <row r="15" spans="1:2" x14ac:dyDescent="0.2">
      <c r="A15" s="5">
        <v>92</v>
      </c>
      <c r="B15" s="4" t="s">
        <v>413</v>
      </c>
    </row>
    <row r="16" spans="1:2" x14ac:dyDescent="0.2">
      <c r="A16" s="5"/>
    </row>
    <row r="17" spans="1:2" x14ac:dyDescent="0.2">
      <c r="A17" s="3" t="s">
        <v>414</v>
      </c>
    </row>
    <row r="18" spans="1:2" x14ac:dyDescent="0.2">
      <c r="A18" s="5">
        <v>0</v>
      </c>
      <c r="B18" s="4" t="s">
        <v>415</v>
      </c>
    </row>
    <row r="19" spans="1:2" x14ac:dyDescent="0.2">
      <c r="A19" s="5">
        <v>1</v>
      </c>
      <c r="B19" s="4" t="s">
        <v>416</v>
      </c>
    </row>
    <row r="20" spans="1:2" x14ac:dyDescent="0.2">
      <c r="A20" s="5">
        <v>2</v>
      </c>
      <c r="B20" s="4" t="s">
        <v>417</v>
      </c>
    </row>
    <row r="21" spans="1:2" x14ac:dyDescent="0.2">
      <c r="A21" s="5">
        <v>3</v>
      </c>
      <c r="B21" s="4" t="s">
        <v>418</v>
      </c>
    </row>
    <row r="23" spans="1:2" x14ac:dyDescent="0.2">
      <c r="A23" s="3" t="s">
        <v>419</v>
      </c>
    </row>
    <row r="24" spans="1:2" x14ac:dyDescent="0.2">
      <c r="A24" s="6">
        <v>1</v>
      </c>
      <c r="B24" s="4" t="s">
        <v>420</v>
      </c>
    </row>
    <row r="25" spans="1:2" x14ac:dyDescent="0.2">
      <c r="A25" s="6">
        <v>2</v>
      </c>
      <c r="B25" s="4" t="s">
        <v>421</v>
      </c>
    </row>
    <row r="26" spans="1:2" x14ac:dyDescent="0.2">
      <c r="A26" s="6">
        <v>3</v>
      </c>
      <c r="B26" s="4" t="s">
        <v>422</v>
      </c>
    </row>
    <row r="27" spans="1:2" x14ac:dyDescent="0.2">
      <c r="A27" s="6">
        <v>4</v>
      </c>
      <c r="B27" s="4" t="s">
        <v>423</v>
      </c>
    </row>
    <row r="29" spans="1:2" x14ac:dyDescent="0.2">
      <c r="A29" s="3" t="s">
        <v>424</v>
      </c>
    </row>
    <row r="30" spans="1:2" x14ac:dyDescent="0.2">
      <c r="A30" s="5">
        <v>1</v>
      </c>
      <c r="B30" s="4" t="s">
        <v>425</v>
      </c>
    </row>
    <row r="31" spans="1:2" x14ac:dyDescent="0.2">
      <c r="A31" s="5">
        <v>2</v>
      </c>
      <c r="B31" s="4" t="s">
        <v>426</v>
      </c>
    </row>
    <row r="32" spans="1:2" x14ac:dyDescent="0.2">
      <c r="A32" s="5">
        <v>3</v>
      </c>
      <c r="B32" s="4" t="s">
        <v>427</v>
      </c>
    </row>
    <row r="33" spans="1:2" x14ac:dyDescent="0.2">
      <c r="A33" s="5">
        <v>4</v>
      </c>
      <c r="B33" s="4" t="s">
        <v>428</v>
      </c>
    </row>
    <row r="34" spans="1:2" x14ac:dyDescent="0.2">
      <c r="A34" s="5">
        <v>5</v>
      </c>
      <c r="B34" s="4" t="s">
        <v>429</v>
      </c>
    </row>
    <row r="35" spans="1:2" x14ac:dyDescent="0.2">
      <c r="A35" s="5">
        <v>6</v>
      </c>
      <c r="B35" s="4" t="s">
        <v>430</v>
      </c>
    </row>
    <row r="36" spans="1:2" x14ac:dyDescent="0.2">
      <c r="A36" s="5">
        <v>7</v>
      </c>
      <c r="B36" s="4" t="s">
        <v>431</v>
      </c>
    </row>
    <row r="38" spans="1:2" x14ac:dyDescent="0.2">
      <c r="A38" s="3" t="s">
        <v>432</v>
      </c>
    </row>
    <row r="39" spans="1:2" x14ac:dyDescent="0.2">
      <c r="A39" s="7" t="s">
        <v>433</v>
      </c>
      <c r="B39" s="4" t="s">
        <v>434</v>
      </c>
    </row>
    <row r="40" spans="1:2" x14ac:dyDescent="0.2">
      <c r="A40" s="7" t="s">
        <v>435</v>
      </c>
      <c r="B40" s="4" t="s">
        <v>436</v>
      </c>
    </row>
    <row r="41" spans="1:2" x14ac:dyDescent="0.2">
      <c r="A41" s="7" t="s">
        <v>437</v>
      </c>
      <c r="B41" s="4" t="s">
        <v>438</v>
      </c>
    </row>
    <row r="42" spans="1:2" x14ac:dyDescent="0.2">
      <c r="A42" s="7" t="s">
        <v>439</v>
      </c>
      <c r="B42" s="4" t="s">
        <v>440</v>
      </c>
    </row>
    <row r="43" spans="1:2" x14ac:dyDescent="0.2">
      <c r="A43" s="7" t="s">
        <v>441</v>
      </c>
      <c r="B43" s="4" t="s">
        <v>442</v>
      </c>
    </row>
    <row r="44" spans="1:2" x14ac:dyDescent="0.2">
      <c r="A44" s="7" t="s">
        <v>443</v>
      </c>
      <c r="B44" s="4" t="s">
        <v>444</v>
      </c>
    </row>
    <row r="45" spans="1:2" x14ac:dyDescent="0.2">
      <c r="A45" s="7" t="s">
        <v>445</v>
      </c>
      <c r="B45" s="4" t="s">
        <v>446</v>
      </c>
    </row>
    <row r="46" spans="1:2" x14ac:dyDescent="0.2">
      <c r="A46" s="7" t="s">
        <v>447</v>
      </c>
      <c r="B46" s="4" t="s">
        <v>448</v>
      </c>
    </row>
    <row r="47" spans="1:2" x14ac:dyDescent="0.2">
      <c r="A47" s="7" t="s">
        <v>449</v>
      </c>
      <c r="B47" s="4" t="s">
        <v>450</v>
      </c>
    </row>
    <row r="50" spans="1:7" ht="14.25" x14ac:dyDescent="0.2">
      <c r="A50" s="8" t="s">
        <v>451</v>
      </c>
      <c r="B50" s="9"/>
      <c r="C50" s="10"/>
      <c r="D50" s="11"/>
      <c r="E50" s="11"/>
      <c r="F50" s="11"/>
      <c r="G50" s="12"/>
    </row>
    <row r="51" spans="1:7" ht="40.5" x14ac:dyDescent="0.2">
      <c r="A51" s="13" t="s">
        <v>452</v>
      </c>
      <c r="B51" s="9" t="s">
        <v>453</v>
      </c>
      <c r="C51" s="14"/>
      <c r="D51" s="11"/>
      <c r="E51" s="14"/>
      <c r="F51" s="11"/>
      <c r="G51" s="12"/>
    </row>
    <row r="52" spans="1:7" x14ac:dyDescent="0.2">
      <c r="A52" s="13" t="s">
        <v>454</v>
      </c>
      <c r="B52" s="9" t="s">
        <v>455</v>
      </c>
      <c r="C52" s="14"/>
      <c r="D52" s="11"/>
      <c r="E52" s="14"/>
      <c r="F52" s="11"/>
      <c r="G52" s="12"/>
    </row>
    <row r="53" spans="1:7" ht="27" x14ac:dyDescent="0.2">
      <c r="A53" s="13" t="s">
        <v>456</v>
      </c>
      <c r="B53" s="9" t="s">
        <v>457</v>
      </c>
      <c r="C53" s="14"/>
      <c r="D53" s="11"/>
      <c r="E53" s="14"/>
      <c r="F53" s="11"/>
      <c r="G53" s="12"/>
    </row>
    <row r="54" spans="1:7" x14ac:dyDescent="0.2">
      <c r="A54" s="13" t="s">
        <v>458</v>
      </c>
      <c r="B54" s="9" t="s">
        <v>459</v>
      </c>
      <c r="C54" s="14"/>
      <c r="D54" s="11"/>
      <c r="E54" s="14"/>
      <c r="F54" s="11"/>
      <c r="G54" s="12"/>
    </row>
    <row r="55" spans="1:7" ht="40.5" x14ac:dyDescent="0.2">
      <c r="A55" s="13" t="s">
        <v>12</v>
      </c>
      <c r="B55" s="9" t="s">
        <v>460</v>
      </c>
      <c r="C55" s="14"/>
      <c r="D55" s="11"/>
      <c r="E55" s="14"/>
      <c r="F55" s="11"/>
      <c r="G55" s="12"/>
    </row>
    <row r="56" spans="1:7" ht="40.5" x14ac:dyDescent="0.2">
      <c r="A56" s="13" t="s">
        <v>461</v>
      </c>
      <c r="B56" s="9" t="s">
        <v>462</v>
      </c>
      <c r="C56" s="14"/>
      <c r="D56" s="11"/>
      <c r="E56" s="14"/>
      <c r="F56" s="11"/>
      <c r="G56" s="12"/>
    </row>
    <row r="57" spans="1:7" ht="40.5" x14ac:dyDescent="0.2">
      <c r="A57" s="13" t="s">
        <v>5</v>
      </c>
      <c r="B57" s="9" t="s">
        <v>463</v>
      </c>
      <c r="C57" s="14"/>
      <c r="D57" s="11"/>
      <c r="E57" s="14"/>
      <c r="F57" s="11"/>
      <c r="G57" s="12"/>
    </row>
    <row r="58" spans="1:7" ht="40.5" x14ac:dyDescent="0.2">
      <c r="A58" s="13" t="s">
        <v>464</v>
      </c>
      <c r="B58" s="9" t="s">
        <v>465</v>
      </c>
      <c r="C58" s="14"/>
      <c r="D58" s="11"/>
      <c r="E58" s="14"/>
      <c r="F58" s="11"/>
      <c r="G58" s="12"/>
    </row>
    <row r="59" spans="1:7" ht="40.5" x14ac:dyDescent="0.2">
      <c r="A59" s="13" t="s">
        <v>466</v>
      </c>
      <c r="B59" s="9" t="s">
        <v>467</v>
      </c>
      <c r="C59" s="14"/>
      <c r="D59" s="11"/>
      <c r="E59" s="14"/>
      <c r="F59" s="11"/>
      <c r="G59" s="12"/>
    </row>
    <row r="60" spans="1:7" ht="54" x14ac:dyDescent="0.2">
      <c r="A60" s="13" t="s">
        <v>468</v>
      </c>
      <c r="B60" s="9" t="s">
        <v>469</v>
      </c>
      <c r="C60" s="14"/>
      <c r="D60" s="11"/>
      <c r="E60" s="14"/>
      <c r="F60" s="11"/>
      <c r="G60" s="12"/>
    </row>
    <row r="61" spans="1:7" ht="54" x14ac:dyDescent="0.2">
      <c r="A61" s="13" t="s">
        <v>470</v>
      </c>
      <c r="B61" s="9" t="s">
        <v>471</v>
      </c>
      <c r="C61" s="14"/>
      <c r="D61" s="11"/>
      <c r="E61" s="14"/>
      <c r="F61" s="11"/>
      <c r="G61" s="12"/>
    </row>
    <row r="62" spans="1:7" ht="27" x14ac:dyDescent="0.2">
      <c r="A62" s="13" t="s">
        <v>472</v>
      </c>
      <c r="B62" s="9" t="s">
        <v>473</v>
      </c>
      <c r="C62" s="14"/>
      <c r="D62" s="11"/>
      <c r="E62" s="14"/>
      <c r="F62" s="11"/>
      <c r="G62" s="12"/>
    </row>
    <row r="63" spans="1:7" ht="27" x14ac:dyDescent="0.2">
      <c r="A63" s="13" t="s">
        <v>474</v>
      </c>
      <c r="B63" s="9" t="s">
        <v>475</v>
      </c>
      <c r="C63" s="14"/>
      <c r="D63" s="11"/>
      <c r="E63" s="14"/>
      <c r="F63" s="11"/>
      <c r="G63" s="12"/>
    </row>
    <row r="64" spans="1:7" ht="40.5" x14ac:dyDescent="0.2">
      <c r="A64" s="13" t="s">
        <v>476</v>
      </c>
      <c r="B64" s="9" t="s">
        <v>477</v>
      </c>
      <c r="C64" s="14"/>
      <c r="D64" s="11"/>
      <c r="E64" s="14"/>
      <c r="F64" s="11"/>
      <c r="G64" s="12"/>
    </row>
    <row r="65" spans="1:7" ht="40.5" x14ac:dyDescent="0.2">
      <c r="A65" s="13" t="s">
        <v>478</v>
      </c>
      <c r="B65" s="9" t="s">
        <v>479</v>
      </c>
      <c r="C65" s="14"/>
      <c r="D65" s="11"/>
      <c r="E65" s="14"/>
      <c r="F65" s="11"/>
      <c r="G65" s="12"/>
    </row>
    <row r="66" spans="1:7" ht="27" x14ac:dyDescent="0.2">
      <c r="A66" s="13" t="s">
        <v>480</v>
      </c>
      <c r="B66" s="9" t="s">
        <v>481</v>
      </c>
      <c r="C66" s="14"/>
      <c r="D66" s="11"/>
      <c r="E66" s="14"/>
      <c r="F66" s="11"/>
      <c r="G66" s="12"/>
    </row>
    <row r="67" spans="1:7" ht="27" x14ac:dyDescent="0.2">
      <c r="A67" s="13" t="s">
        <v>482</v>
      </c>
      <c r="B67" s="9" t="s">
        <v>483</v>
      </c>
      <c r="C67" s="14"/>
      <c r="D67" s="11"/>
      <c r="E67" s="14"/>
      <c r="F67" s="11"/>
      <c r="G67" s="12"/>
    </row>
    <row r="68" spans="1:7" ht="40.5" x14ac:dyDescent="0.2">
      <c r="A68" s="13" t="s">
        <v>484</v>
      </c>
      <c r="B68" s="9" t="s">
        <v>485</v>
      </c>
      <c r="C68" s="14"/>
      <c r="D68" s="11"/>
      <c r="E68" s="14"/>
      <c r="F68" s="11"/>
      <c r="G68" s="12"/>
    </row>
    <row r="69" spans="1:7" ht="27" x14ac:dyDescent="0.2">
      <c r="A69" s="13" t="s">
        <v>486</v>
      </c>
      <c r="B69" s="9" t="s">
        <v>487</v>
      </c>
      <c r="C69" s="14"/>
      <c r="D69" s="11"/>
      <c r="E69" s="14"/>
      <c r="F69" s="11"/>
      <c r="G69" s="12"/>
    </row>
    <row r="70" spans="1:7" ht="27" x14ac:dyDescent="0.2">
      <c r="A70" s="13" t="s">
        <v>488</v>
      </c>
      <c r="B70" s="9" t="s">
        <v>489</v>
      </c>
      <c r="C70" s="14"/>
      <c r="D70" s="11"/>
      <c r="E70" s="14"/>
      <c r="F70" s="11"/>
      <c r="G70" s="12"/>
    </row>
    <row r="71" spans="1:7" ht="40.5" x14ac:dyDescent="0.2">
      <c r="A71" s="13" t="s">
        <v>490</v>
      </c>
      <c r="B71" s="9" t="s">
        <v>491</v>
      </c>
      <c r="C71" s="14"/>
      <c r="D71" s="11"/>
      <c r="E71" s="14"/>
      <c r="F71" s="11"/>
      <c r="G71" s="12"/>
    </row>
    <row r="72" spans="1:7" ht="54" x14ac:dyDescent="0.2">
      <c r="A72" s="13" t="s">
        <v>492</v>
      </c>
      <c r="B72" s="9" t="s">
        <v>493</v>
      </c>
      <c r="C72" s="14"/>
      <c r="D72" s="11"/>
      <c r="E72" s="14"/>
      <c r="F72" s="11"/>
      <c r="G72" s="12"/>
    </row>
    <row r="73" spans="1:7" x14ac:dyDescent="0.2">
      <c r="A73" s="13" t="s">
        <v>494</v>
      </c>
      <c r="B73" s="9" t="s">
        <v>495</v>
      </c>
      <c r="C73" s="14"/>
      <c r="D73" s="11"/>
      <c r="E73" s="14"/>
      <c r="F73" s="11"/>
      <c r="G73" s="12"/>
    </row>
    <row r="74" spans="1:7" ht="27" x14ac:dyDescent="0.2">
      <c r="A74" s="13" t="s">
        <v>496</v>
      </c>
      <c r="B74" s="9" t="s">
        <v>497</v>
      </c>
      <c r="C74" s="14"/>
      <c r="D74" s="11"/>
      <c r="E74" s="14"/>
      <c r="F74" s="11"/>
      <c r="G74" s="12"/>
    </row>
    <row r="75" spans="1:7" ht="27" x14ac:dyDescent="0.2">
      <c r="A75" s="13" t="s">
        <v>498</v>
      </c>
      <c r="B75" s="9" t="s">
        <v>499</v>
      </c>
      <c r="C75" s="14"/>
      <c r="D75" s="11"/>
      <c r="E75" s="14"/>
      <c r="F75" s="11"/>
      <c r="G75" s="12"/>
    </row>
    <row r="76" spans="1:7" ht="40.5" x14ac:dyDescent="0.2">
      <c r="A76" s="13" t="s">
        <v>500</v>
      </c>
      <c r="B76" s="9" t="s">
        <v>501</v>
      </c>
      <c r="C76" s="14"/>
      <c r="D76" s="11"/>
      <c r="E76" s="14"/>
      <c r="F76" s="11"/>
      <c r="G76" s="12"/>
    </row>
    <row r="77" spans="1:7" ht="54" x14ac:dyDescent="0.2">
      <c r="A77" s="13" t="s">
        <v>502</v>
      </c>
      <c r="B77" s="9" t="s">
        <v>503</v>
      </c>
      <c r="C77" s="14"/>
      <c r="D77" s="11"/>
      <c r="E77" s="14"/>
      <c r="F77" s="11"/>
      <c r="G77" s="12"/>
    </row>
    <row r="78" spans="1:7" ht="40.5" x14ac:dyDescent="0.2">
      <c r="A78" s="13" t="s">
        <v>504</v>
      </c>
      <c r="B78" s="9" t="s">
        <v>505</v>
      </c>
      <c r="C78" s="14"/>
      <c r="D78" s="11"/>
      <c r="E78" s="14"/>
      <c r="F78" s="11"/>
      <c r="G78" s="12"/>
    </row>
    <row r="79" spans="1:7" ht="40.5" x14ac:dyDescent="0.2">
      <c r="A79" s="13" t="s">
        <v>506</v>
      </c>
      <c r="B79" s="9" t="s">
        <v>507</v>
      </c>
      <c r="C79" s="14"/>
      <c r="D79" s="11"/>
      <c r="E79" s="14"/>
      <c r="F79" s="11"/>
      <c r="G79" s="12"/>
    </row>
    <row r="80" spans="1:7" ht="40.5" x14ac:dyDescent="0.2">
      <c r="A80" s="13" t="s">
        <v>508</v>
      </c>
      <c r="B80" s="9" t="s">
        <v>509</v>
      </c>
      <c r="C80" s="14"/>
      <c r="D80" s="11"/>
      <c r="E80" s="14"/>
      <c r="F80" s="11"/>
      <c r="G80" s="12"/>
    </row>
    <row r="81" spans="1:5" x14ac:dyDescent="0.2">
      <c r="A81" s="5"/>
      <c r="C81" s="5"/>
      <c r="E81" s="5"/>
    </row>
    <row r="82" spans="1:5" x14ac:dyDescent="0.2">
      <c r="A82" s="3" t="s">
        <v>510</v>
      </c>
    </row>
    <row r="83" spans="1:5" x14ac:dyDescent="0.2">
      <c r="A83" s="15" t="s">
        <v>511</v>
      </c>
      <c r="B83" s="4" t="s">
        <v>512</v>
      </c>
    </row>
    <row r="84" spans="1:5" x14ac:dyDescent="0.2">
      <c r="A84" s="15" t="s">
        <v>1</v>
      </c>
      <c r="B84" s="4" t="s">
        <v>513</v>
      </c>
    </row>
    <row r="86" spans="1:5" x14ac:dyDescent="0.2">
      <c r="A86" s="3" t="s">
        <v>514</v>
      </c>
    </row>
    <row r="87" spans="1:5" x14ac:dyDescent="0.2">
      <c r="A87" s="5">
        <v>0</v>
      </c>
      <c r="B87" s="4" t="s">
        <v>515</v>
      </c>
    </row>
    <row r="88" spans="1:5" x14ac:dyDescent="0.2">
      <c r="A88" s="5">
        <v>1</v>
      </c>
      <c r="B88" s="4" t="s">
        <v>516</v>
      </c>
    </row>
    <row r="89" spans="1:5" x14ac:dyDescent="0.2">
      <c r="A89" s="5">
        <v>2</v>
      </c>
      <c r="B89" s="4" t="s">
        <v>517</v>
      </c>
    </row>
    <row r="90" spans="1:5" x14ac:dyDescent="0.2">
      <c r="A90" s="5">
        <v>3</v>
      </c>
      <c r="B90" s="4" t="s">
        <v>518</v>
      </c>
    </row>
    <row r="91" spans="1:5" x14ac:dyDescent="0.2">
      <c r="A91" s="5">
        <v>4</v>
      </c>
      <c r="B91" s="4" t="s">
        <v>519</v>
      </c>
    </row>
    <row r="92" spans="1:5" x14ac:dyDescent="0.2">
      <c r="A92" s="5">
        <v>5</v>
      </c>
      <c r="B92" s="4" t="s">
        <v>520</v>
      </c>
    </row>
    <row r="93" spans="1:5" x14ac:dyDescent="0.2">
      <c r="A93" s="5">
        <v>6</v>
      </c>
      <c r="B93" s="4" t="s">
        <v>521</v>
      </c>
    </row>
    <row r="94" spans="1:5" x14ac:dyDescent="0.2">
      <c r="A94" s="5">
        <v>7</v>
      </c>
      <c r="B94" s="4" t="s">
        <v>522</v>
      </c>
    </row>
    <row r="95" spans="1:5" x14ac:dyDescent="0.2">
      <c r="A95" s="5">
        <v>9</v>
      </c>
      <c r="B95" s="4" t="s">
        <v>523</v>
      </c>
    </row>
    <row r="96" spans="1:5" ht="14.25" x14ac:dyDescent="0.2">
      <c r="A96" s="5" t="s">
        <v>524</v>
      </c>
      <c r="B96" s="16" t="s">
        <v>525</v>
      </c>
    </row>
    <row r="97" spans="1:2" ht="14.25" x14ac:dyDescent="0.2">
      <c r="A97" s="5" t="s">
        <v>526</v>
      </c>
      <c r="B97" s="16" t="s">
        <v>527</v>
      </c>
    </row>
    <row r="98" spans="1:2" ht="14.25" x14ac:dyDescent="0.2">
      <c r="A98" s="5" t="s">
        <v>6</v>
      </c>
      <c r="B98" s="16" t="s">
        <v>528</v>
      </c>
    </row>
    <row r="99" spans="1:2" ht="14.25" x14ac:dyDescent="0.2">
      <c r="A99" s="5" t="s">
        <v>2</v>
      </c>
      <c r="B99" s="16" t="s">
        <v>529</v>
      </c>
    </row>
    <row r="101" spans="1:2" x14ac:dyDescent="0.2">
      <c r="A101" s="3" t="s">
        <v>530</v>
      </c>
    </row>
    <row r="102" spans="1:2" x14ac:dyDescent="0.2">
      <c r="A102" s="5">
        <v>0</v>
      </c>
      <c r="B102" s="4" t="s">
        <v>531</v>
      </c>
    </row>
    <row r="103" spans="1:2" x14ac:dyDescent="0.2">
      <c r="A103" s="5">
        <v>1</v>
      </c>
      <c r="B103" s="4" t="s">
        <v>532</v>
      </c>
    </row>
    <row r="104" spans="1:2" x14ac:dyDescent="0.2">
      <c r="A104" s="5">
        <v>2</v>
      </c>
      <c r="B104" s="4" t="s">
        <v>533</v>
      </c>
    </row>
    <row r="105" spans="1:2" x14ac:dyDescent="0.2">
      <c r="A105" s="5">
        <v>3</v>
      </c>
      <c r="B105" s="4" t="s">
        <v>534</v>
      </c>
    </row>
    <row r="106" spans="1:2" x14ac:dyDescent="0.2">
      <c r="A106" s="5">
        <v>4</v>
      </c>
      <c r="B106" s="4" t="s">
        <v>535</v>
      </c>
    </row>
    <row r="107" spans="1:2" x14ac:dyDescent="0.2">
      <c r="A107" s="5">
        <v>5</v>
      </c>
      <c r="B107" s="4" t="s">
        <v>536</v>
      </c>
    </row>
    <row r="108" spans="1:2" x14ac:dyDescent="0.2">
      <c r="A108" s="5">
        <v>6</v>
      </c>
      <c r="B108" s="4" t="s">
        <v>537</v>
      </c>
    </row>
    <row r="110" spans="1:2" x14ac:dyDescent="0.2">
      <c r="A110" s="3" t="s">
        <v>538</v>
      </c>
    </row>
    <row r="111" spans="1:2" x14ac:dyDescent="0.2">
      <c r="A111" s="15" t="s">
        <v>539</v>
      </c>
      <c r="B111" s="4" t="s">
        <v>8</v>
      </c>
    </row>
    <row r="112" spans="1:2" x14ac:dyDescent="0.2">
      <c r="A112" s="15" t="s">
        <v>17</v>
      </c>
      <c r="B112" s="4" t="s">
        <v>32</v>
      </c>
    </row>
    <row r="114" spans="1:2" x14ac:dyDescent="0.2">
      <c r="A114" s="3" t="s">
        <v>540</v>
      </c>
    </row>
    <row r="115" spans="1:2" x14ac:dyDescent="0.2">
      <c r="A115" s="5">
        <v>1</v>
      </c>
      <c r="B115" s="4" t="s">
        <v>541</v>
      </c>
    </row>
    <row r="116" spans="1:2" x14ac:dyDescent="0.2">
      <c r="A116" s="5">
        <v>2</v>
      </c>
      <c r="B116" s="4" t="s">
        <v>542</v>
      </c>
    </row>
    <row r="117" spans="1:2" x14ac:dyDescent="0.2">
      <c r="A117" s="5">
        <v>3</v>
      </c>
      <c r="B117" s="4" t="s">
        <v>543</v>
      </c>
    </row>
    <row r="118" spans="1:2" x14ac:dyDescent="0.2">
      <c r="A118" s="5">
        <v>4</v>
      </c>
      <c r="B118" s="4" t="s">
        <v>544</v>
      </c>
    </row>
    <row r="119" spans="1:2" x14ac:dyDescent="0.2">
      <c r="A119" s="5">
        <v>5</v>
      </c>
      <c r="B119" s="4" t="s">
        <v>545</v>
      </c>
    </row>
    <row r="121" spans="1:2" x14ac:dyDescent="0.2">
      <c r="A121" s="3" t="s">
        <v>304</v>
      </c>
    </row>
    <row r="122" spans="1:2" x14ac:dyDescent="0.2">
      <c r="A122" s="5">
        <v>1</v>
      </c>
      <c r="B122" s="4" t="s">
        <v>546</v>
      </c>
    </row>
    <row r="123" spans="1:2" x14ac:dyDescent="0.2">
      <c r="A123" s="5">
        <v>2</v>
      </c>
      <c r="B123" s="4" t="s">
        <v>547</v>
      </c>
    </row>
    <row r="124" spans="1:2" x14ac:dyDescent="0.2">
      <c r="A124" s="5">
        <v>3</v>
      </c>
      <c r="B124" s="4" t="s">
        <v>548</v>
      </c>
    </row>
    <row r="125" spans="1:2" x14ac:dyDescent="0.2">
      <c r="A125" s="5">
        <v>4</v>
      </c>
      <c r="B125" s="4" t="s">
        <v>549</v>
      </c>
    </row>
    <row r="126" spans="1:2" x14ac:dyDescent="0.2">
      <c r="A126" s="5">
        <v>5</v>
      </c>
      <c r="B126" s="4" t="s">
        <v>550</v>
      </c>
    </row>
    <row r="127" spans="1:2" x14ac:dyDescent="0.2">
      <c r="A127" s="5">
        <v>6</v>
      </c>
      <c r="B127" s="4" t="s">
        <v>551</v>
      </c>
    </row>
    <row r="128" spans="1:2" x14ac:dyDescent="0.2">
      <c r="A128" s="5">
        <v>7</v>
      </c>
      <c r="B128" s="4" t="s">
        <v>552</v>
      </c>
    </row>
    <row r="129" spans="1:2" x14ac:dyDescent="0.2">
      <c r="A129" s="5">
        <v>9</v>
      </c>
      <c r="B129" s="4" t="s">
        <v>553</v>
      </c>
    </row>
    <row r="130" spans="1:2" x14ac:dyDescent="0.2">
      <c r="A130" s="5">
        <v>10</v>
      </c>
      <c r="B130" s="4" t="s">
        <v>554</v>
      </c>
    </row>
    <row r="131" spans="1:2" x14ac:dyDescent="0.2">
      <c r="A131" s="5">
        <v>11</v>
      </c>
      <c r="B131" s="4" t="s">
        <v>555</v>
      </c>
    </row>
    <row r="132" spans="1:2" x14ac:dyDescent="0.2">
      <c r="A132" s="5">
        <v>12</v>
      </c>
      <c r="B132" s="4" t="s">
        <v>556</v>
      </c>
    </row>
    <row r="133" spans="1:2" x14ac:dyDescent="0.2">
      <c r="A133" s="5">
        <v>13</v>
      </c>
      <c r="B133" s="4" t="s">
        <v>557</v>
      </c>
    </row>
    <row r="135" spans="1:2" x14ac:dyDescent="0.2">
      <c r="A135" s="3" t="s">
        <v>558</v>
      </c>
    </row>
    <row r="136" spans="1:2" x14ac:dyDescent="0.2">
      <c r="A136" s="5">
        <v>1</v>
      </c>
      <c r="B136" s="4" t="s">
        <v>559</v>
      </c>
    </row>
    <row r="137" spans="1:2" x14ac:dyDescent="0.2">
      <c r="A137" s="5">
        <v>2</v>
      </c>
      <c r="B137" s="4" t="s">
        <v>560</v>
      </c>
    </row>
    <row r="138" spans="1:2" x14ac:dyDescent="0.2">
      <c r="A138" s="5">
        <v>4</v>
      </c>
      <c r="B138" s="4" t="s">
        <v>561</v>
      </c>
    </row>
    <row r="139" spans="1:2" x14ac:dyDescent="0.2">
      <c r="A139" s="5">
        <v>6</v>
      </c>
      <c r="B139" s="4" t="s">
        <v>562</v>
      </c>
    </row>
    <row r="140" spans="1:2" x14ac:dyDescent="0.2">
      <c r="A140" s="5">
        <v>8</v>
      </c>
      <c r="B140" s="4" t="s">
        <v>563</v>
      </c>
    </row>
    <row r="141" spans="1:2" x14ac:dyDescent="0.2">
      <c r="A141" s="5">
        <v>9</v>
      </c>
      <c r="B141" s="4" t="s">
        <v>564</v>
      </c>
    </row>
    <row r="143" spans="1:2" x14ac:dyDescent="0.2">
      <c r="A143" s="3" t="s">
        <v>565</v>
      </c>
    </row>
    <row r="144" spans="1:2" x14ac:dyDescent="0.2">
      <c r="A144" s="5">
        <v>0</v>
      </c>
      <c r="B144" s="4" t="s">
        <v>566</v>
      </c>
    </row>
    <row r="145" spans="1:2" x14ac:dyDescent="0.2">
      <c r="A145" s="5">
        <v>1</v>
      </c>
      <c r="B145" s="4" t="s">
        <v>567</v>
      </c>
    </row>
    <row r="146" spans="1:2" x14ac:dyDescent="0.2">
      <c r="A146" s="5">
        <v>2</v>
      </c>
      <c r="B146" s="4" t="s">
        <v>568</v>
      </c>
    </row>
    <row r="147" spans="1:2" x14ac:dyDescent="0.2">
      <c r="A147" s="5">
        <v>3</v>
      </c>
      <c r="B147" s="4" t="s">
        <v>569</v>
      </c>
    </row>
    <row r="148" spans="1:2" x14ac:dyDescent="0.2">
      <c r="A148" s="5">
        <v>4</v>
      </c>
      <c r="B148" s="4" t="s">
        <v>570</v>
      </c>
    </row>
    <row r="149" spans="1:2" x14ac:dyDescent="0.2">
      <c r="A149" s="5">
        <v>5</v>
      </c>
      <c r="B149" s="4" t="s">
        <v>571</v>
      </c>
    </row>
    <row r="151" spans="1:2" x14ac:dyDescent="0.2">
      <c r="A151" s="3" t="s">
        <v>572</v>
      </c>
    </row>
    <row r="152" spans="1:2" x14ac:dyDescent="0.2">
      <c r="A152" s="5">
        <v>0</v>
      </c>
      <c r="B152" s="4" t="s">
        <v>573</v>
      </c>
    </row>
    <row r="153" spans="1:2" x14ac:dyDescent="0.2">
      <c r="A153" s="5">
        <v>1</v>
      </c>
      <c r="B153" s="4" t="s">
        <v>574</v>
      </c>
    </row>
    <row r="155" spans="1:2" x14ac:dyDescent="0.2">
      <c r="A155" s="3" t="s">
        <v>151</v>
      </c>
    </row>
    <row r="156" spans="1:2" x14ac:dyDescent="0.2">
      <c r="A156" s="15" t="s">
        <v>575</v>
      </c>
      <c r="B156" s="4" t="s">
        <v>576</v>
      </c>
    </row>
    <row r="157" spans="1:2" x14ac:dyDescent="0.2">
      <c r="A157" s="15" t="s">
        <v>577</v>
      </c>
      <c r="B157" s="4" t="s">
        <v>578</v>
      </c>
    </row>
    <row r="158" spans="1:2" x14ac:dyDescent="0.2">
      <c r="A158" s="15" t="s">
        <v>579</v>
      </c>
      <c r="B158" s="4" t="s">
        <v>580</v>
      </c>
    </row>
    <row r="159" spans="1:2" x14ac:dyDescent="0.2">
      <c r="A159" s="15" t="s">
        <v>581</v>
      </c>
      <c r="B159" s="4" t="s">
        <v>582</v>
      </c>
    </row>
    <row r="160" spans="1:2" x14ac:dyDescent="0.2">
      <c r="A160" s="15" t="s">
        <v>583</v>
      </c>
      <c r="B160" s="4" t="s">
        <v>584</v>
      </c>
    </row>
    <row r="161" spans="1:2" x14ac:dyDescent="0.2">
      <c r="A161" s="15" t="s">
        <v>585</v>
      </c>
      <c r="B161" s="4" t="s">
        <v>586</v>
      </c>
    </row>
    <row r="162" spans="1:2" x14ac:dyDescent="0.2">
      <c r="A162" s="15" t="s">
        <v>587</v>
      </c>
      <c r="B162" s="4" t="s">
        <v>588</v>
      </c>
    </row>
    <row r="163" spans="1:2" x14ac:dyDescent="0.2">
      <c r="A163" s="15" t="s">
        <v>589</v>
      </c>
      <c r="B163" s="4" t="s">
        <v>590</v>
      </c>
    </row>
    <row r="164" spans="1:2" x14ac:dyDescent="0.2">
      <c r="A164" s="15" t="s">
        <v>591</v>
      </c>
      <c r="B164" s="4" t="s">
        <v>592</v>
      </c>
    </row>
    <row r="165" spans="1:2" x14ac:dyDescent="0.2">
      <c r="A165" s="15" t="s">
        <v>593</v>
      </c>
      <c r="B165" s="4" t="s">
        <v>594</v>
      </c>
    </row>
    <row r="166" spans="1:2" x14ac:dyDescent="0.2">
      <c r="A166" s="15" t="s">
        <v>595</v>
      </c>
      <c r="B166" s="4" t="s">
        <v>596</v>
      </c>
    </row>
    <row r="167" spans="1:2" x14ac:dyDescent="0.2">
      <c r="A167" s="15" t="s">
        <v>597</v>
      </c>
      <c r="B167" s="4" t="s">
        <v>598</v>
      </c>
    </row>
    <row r="168" spans="1:2" x14ac:dyDescent="0.2">
      <c r="A168" s="15" t="s">
        <v>599</v>
      </c>
      <c r="B168" s="4" t="s">
        <v>600</v>
      </c>
    </row>
    <row r="169" spans="1:2" x14ac:dyDescent="0.2">
      <c r="A169" s="15" t="s">
        <v>601</v>
      </c>
      <c r="B169" s="4" t="s">
        <v>602</v>
      </c>
    </row>
    <row r="170" spans="1:2" x14ac:dyDescent="0.2">
      <c r="A170" s="15" t="s">
        <v>603</v>
      </c>
      <c r="B170" s="4" t="s">
        <v>604</v>
      </c>
    </row>
    <row r="171" spans="1:2" x14ac:dyDescent="0.2">
      <c r="A171" s="15" t="s">
        <v>605</v>
      </c>
      <c r="B171" s="4" t="s">
        <v>606</v>
      </c>
    </row>
    <row r="172" spans="1:2" x14ac:dyDescent="0.2">
      <c r="A172" s="15" t="s">
        <v>607</v>
      </c>
      <c r="B172" s="4" t="s">
        <v>608</v>
      </c>
    </row>
    <row r="173" spans="1:2" x14ac:dyDescent="0.2">
      <c r="A173" s="15" t="s">
        <v>609</v>
      </c>
      <c r="B173" s="4" t="s">
        <v>610</v>
      </c>
    </row>
    <row r="174" spans="1:2" x14ac:dyDescent="0.2">
      <c r="A174" s="15" t="s">
        <v>611</v>
      </c>
      <c r="B174" s="4" t="s">
        <v>612</v>
      </c>
    </row>
    <row r="175" spans="1:2" x14ac:dyDescent="0.2">
      <c r="A175" s="15" t="s">
        <v>613</v>
      </c>
      <c r="B175" s="4" t="s">
        <v>614</v>
      </c>
    </row>
    <row r="176" spans="1:2" x14ac:dyDescent="0.2">
      <c r="A176" s="15" t="s">
        <v>615</v>
      </c>
      <c r="B176" s="4" t="s">
        <v>616</v>
      </c>
    </row>
    <row r="177" spans="1:2" x14ac:dyDescent="0.2">
      <c r="A177" s="15" t="s">
        <v>617</v>
      </c>
      <c r="B177" s="4" t="s">
        <v>618</v>
      </c>
    </row>
    <row r="178" spans="1:2" x14ac:dyDescent="0.2">
      <c r="A178" s="15" t="s">
        <v>619</v>
      </c>
      <c r="B178" s="4" t="s">
        <v>620</v>
      </c>
    </row>
    <row r="179" spans="1:2" x14ac:dyDescent="0.2">
      <c r="A179" s="15" t="s">
        <v>621</v>
      </c>
      <c r="B179" s="4" t="s">
        <v>622</v>
      </c>
    </row>
    <row r="180" spans="1:2" x14ac:dyDescent="0.2">
      <c r="A180" s="15" t="s">
        <v>623</v>
      </c>
      <c r="B180" s="4" t="s">
        <v>624</v>
      </c>
    </row>
    <row r="181" spans="1:2" x14ac:dyDescent="0.2">
      <c r="A181" s="15" t="s">
        <v>625</v>
      </c>
      <c r="B181" s="4" t="s">
        <v>626</v>
      </c>
    </row>
    <row r="182" spans="1:2" x14ac:dyDescent="0.2">
      <c r="A182" s="15" t="s">
        <v>627</v>
      </c>
      <c r="B182" s="4" t="s">
        <v>628</v>
      </c>
    </row>
    <row r="184" spans="1:2" x14ac:dyDescent="0.2">
      <c r="A184" s="3" t="s">
        <v>629</v>
      </c>
    </row>
    <row r="185" spans="1:2" x14ac:dyDescent="0.2">
      <c r="A185" s="17" t="s">
        <v>435</v>
      </c>
      <c r="B185" s="4" t="s">
        <v>630</v>
      </c>
    </row>
    <row r="186" spans="1:2" x14ac:dyDescent="0.2">
      <c r="A186" s="17" t="s">
        <v>437</v>
      </c>
      <c r="B186" s="4" t="s">
        <v>631</v>
      </c>
    </row>
    <row r="187" spans="1:2" x14ac:dyDescent="0.2">
      <c r="A187" s="17" t="s">
        <v>439</v>
      </c>
      <c r="B187" s="4" t="s">
        <v>632</v>
      </c>
    </row>
    <row r="188" spans="1:2" x14ac:dyDescent="0.2">
      <c r="A188" s="17" t="s">
        <v>441</v>
      </c>
      <c r="B188" s="4" t="s">
        <v>633</v>
      </c>
    </row>
    <row r="189" spans="1:2" x14ac:dyDescent="0.2">
      <c r="A189" s="17" t="s">
        <v>443</v>
      </c>
      <c r="B189" s="4" t="s">
        <v>634</v>
      </c>
    </row>
    <row r="190" spans="1:2" x14ac:dyDescent="0.2">
      <c r="A190" s="17" t="s">
        <v>445</v>
      </c>
      <c r="B190" s="4" t="s">
        <v>635</v>
      </c>
    </row>
    <row r="191" spans="1:2" x14ac:dyDescent="0.2">
      <c r="A191" s="17" t="s">
        <v>447</v>
      </c>
      <c r="B191" s="4" t="s">
        <v>636</v>
      </c>
    </row>
    <row r="192" spans="1:2" x14ac:dyDescent="0.2">
      <c r="A192" s="17" t="s">
        <v>449</v>
      </c>
      <c r="B192" s="4" t="s">
        <v>637</v>
      </c>
    </row>
    <row r="193" spans="1:2" x14ac:dyDescent="0.2">
      <c r="A193" s="17">
        <v>90</v>
      </c>
      <c r="B193" s="4" t="s">
        <v>638</v>
      </c>
    </row>
    <row r="194" spans="1:2" ht="14.25" x14ac:dyDescent="0.2">
      <c r="A194" s="17">
        <v>97</v>
      </c>
      <c r="B194" s="16" t="s">
        <v>639</v>
      </c>
    </row>
    <row r="195" spans="1:2" x14ac:dyDescent="0.2">
      <c r="A195" s="17">
        <v>98</v>
      </c>
      <c r="B195" s="4" t="s">
        <v>640</v>
      </c>
    </row>
    <row r="196" spans="1:2" x14ac:dyDescent="0.2">
      <c r="A196" s="17">
        <v>99</v>
      </c>
      <c r="B196" s="4" t="s">
        <v>641</v>
      </c>
    </row>
    <row r="198" spans="1:2" x14ac:dyDescent="0.2">
      <c r="A198" s="3" t="s">
        <v>642</v>
      </c>
    </row>
    <row r="199" spans="1:2" x14ac:dyDescent="0.2">
      <c r="A199" s="15">
        <v>10</v>
      </c>
      <c r="B199" s="4" t="s">
        <v>643</v>
      </c>
    </row>
    <row r="200" spans="1:2" x14ac:dyDescent="0.2">
      <c r="A200" s="15">
        <v>20</v>
      </c>
      <c r="B200" s="4" t="s">
        <v>644</v>
      </c>
    </row>
    <row r="201" spans="1:2" x14ac:dyDescent="0.2">
      <c r="A201" s="15">
        <v>21</v>
      </c>
      <c r="B201" s="4" t="s">
        <v>645</v>
      </c>
    </row>
    <row r="202" spans="1:2" x14ac:dyDescent="0.2">
      <c r="A202" s="15">
        <v>22</v>
      </c>
      <c r="B202" s="4" t="s">
        <v>646</v>
      </c>
    </row>
    <row r="203" spans="1:2" x14ac:dyDescent="0.2">
      <c r="A203" s="15">
        <v>23</v>
      </c>
      <c r="B203" s="4" t="s">
        <v>647</v>
      </c>
    </row>
    <row r="204" spans="1:2" x14ac:dyDescent="0.2">
      <c r="A204" s="15">
        <v>24</v>
      </c>
      <c r="B204" s="4" t="s">
        <v>648</v>
      </c>
    </row>
    <row r="205" spans="1:2" x14ac:dyDescent="0.2">
      <c r="A205" s="15">
        <v>25</v>
      </c>
      <c r="B205" s="4" t="s">
        <v>649</v>
      </c>
    </row>
    <row r="206" spans="1:2" x14ac:dyDescent="0.2">
      <c r="A206" s="15">
        <v>26</v>
      </c>
      <c r="B206" s="4" t="s">
        <v>650</v>
      </c>
    </row>
    <row r="207" spans="1:2" x14ac:dyDescent="0.2">
      <c r="A207" s="15">
        <v>27</v>
      </c>
      <c r="B207" s="4" t="s">
        <v>651</v>
      </c>
    </row>
    <row r="208" spans="1:2" x14ac:dyDescent="0.2">
      <c r="A208" s="15">
        <v>28</v>
      </c>
      <c r="B208" s="4" t="s">
        <v>652</v>
      </c>
    </row>
    <row r="209" spans="1:2" x14ac:dyDescent="0.2">
      <c r="A209" s="15">
        <v>29</v>
      </c>
      <c r="B209" s="4" t="s">
        <v>653</v>
      </c>
    </row>
    <row r="210" spans="1:2" x14ac:dyDescent="0.2">
      <c r="A210" s="15">
        <v>30</v>
      </c>
      <c r="B210" s="4" t="s">
        <v>654</v>
      </c>
    </row>
    <row r="211" spans="1:2" x14ac:dyDescent="0.2">
      <c r="A211" s="15">
        <v>31</v>
      </c>
      <c r="B211" s="4" t="s">
        <v>655</v>
      </c>
    </row>
    <row r="212" spans="1:2" x14ac:dyDescent="0.2">
      <c r="A212" s="15">
        <v>32</v>
      </c>
      <c r="B212" s="4" t="s">
        <v>656</v>
      </c>
    </row>
    <row r="213" spans="1:2" x14ac:dyDescent="0.2">
      <c r="A213" s="15">
        <v>34</v>
      </c>
      <c r="B213" s="4" t="s">
        <v>657</v>
      </c>
    </row>
    <row r="214" spans="1:2" x14ac:dyDescent="0.2">
      <c r="A214" s="15">
        <v>35</v>
      </c>
      <c r="B214" s="4" t="s">
        <v>658</v>
      </c>
    </row>
    <row r="215" spans="1:2" x14ac:dyDescent="0.2">
      <c r="A215" s="15">
        <v>36</v>
      </c>
      <c r="B215" s="4" t="s">
        <v>659</v>
      </c>
    </row>
    <row r="216" spans="1:2" x14ac:dyDescent="0.2">
      <c r="A216" s="15">
        <v>37</v>
      </c>
      <c r="B216" s="4" t="s">
        <v>660</v>
      </c>
    </row>
    <row r="217" spans="1:2" x14ac:dyDescent="0.2">
      <c r="A217" s="15">
        <v>38</v>
      </c>
      <c r="B217" s="4" t="s">
        <v>661</v>
      </c>
    </row>
    <row r="218" spans="1:2" x14ac:dyDescent="0.2">
      <c r="A218" s="15">
        <v>39</v>
      </c>
      <c r="B218" s="4" t="s">
        <v>662</v>
      </c>
    </row>
    <row r="219" spans="1:2" x14ac:dyDescent="0.2">
      <c r="A219" s="15">
        <v>40</v>
      </c>
      <c r="B219" s="4" t="s">
        <v>663</v>
      </c>
    </row>
    <row r="220" spans="1:2" x14ac:dyDescent="0.2">
      <c r="A220" s="15">
        <v>41</v>
      </c>
      <c r="B220" s="4" t="s">
        <v>664</v>
      </c>
    </row>
    <row r="221" spans="1:2" x14ac:dyDescent="0.2">
      <c r="A221" s="15">
        <v>42</v>
      </c>
      <c r="B221" s="4" t="s">
        <v>665</v>
      </c>
    </row>
    <row r="222" spans="1:2" x14ac:dyDescent="0.2">
      <c r="A222" s="15">
        <v>43</v>
      </c>
      <c r="B222" s="4" t="s">
        <v>666</v>
      </c>
    </row>
    <row r="223" spans="1:2" x14ac:dyDescent="0.2">
      <c r="A223" s="15">
        <v>44</v>
      </c>
      <c r="B223" s="4" t="s">
        <v>667</v>
      </c>
    </row>
    <row r="224" spans="1:2" x14ac:dyDescent="0.2">
      <c r="A224" s="15">
        <v>45</v>
      </c>
      <c r="B224" s="4" t="s">
        <v>668</v>
      </c>
    </row>
    <row r="225" spans="1:2" x14ac:dyDescent="0.2">
      <c r="A225" s="15">
        <v>46</v>
      </c>
      <c r="B225" s="4" t="s">
        <v>669</v>
      </c>
    </row>
    <row r="226" spans="1:2" x14ac:dyDescent="0.2">
      <c r="A226" s="15">
        <v>47</v>
      </c>
      <c r="B226" s="4" t="s">
        <v>670</v>
      </c>
    </row>
    <row r="227" spans="1:2" x14ac:dyDescent="0.2">
      <c r="A227" s="15">
        <v>48</v>
      </c>
      <c r="B227" s="4" t="s">
        <v>671</v>
      </c>
    </row>
    <row r="228" spans="1:2" x14ac:dyDescent="0.2">
      <c r="A228" s="15">
        <v>49</v>
      </c>
      <c r="B228" s="4" t="s">
        <v>672</v>
      </c>
    </row>
    <row r="229" spans="1:2" x14ac:dyDescent="0.2">
      <c r="A229" s="15">
        <v>50</v>
      </c>
      <c r="B229" s="4" t="s">
        <v>640</v>
      </c>
    </row>
    <row r="230" spans="1:2" x14ac:dyDescent="0.2">
      <c r="A230" s="15">
        <v>51</v>
      </c>
      <c r="B230" s="4" t="s">
        <v>673</v>
      </c>
    </row>
    <row r="231" spans="1:2" x14ac:dyDescent="0.2">
      <c r="A231" s="15">
        <v>60</v>
      </c>
      <c r="B231" s="4" t="s">
        <v>674</v>
      </c>
    </row>
    <row r="232" spans="1:2" x14ac:dyDescent="0.2">
      <c r="A232" s="15">
        <v>61</v>
      </c>
      <c r="B232" s="4" t="s">
        <v>675</v>
      </c>
    </row>
    <row r="233" spans="1:2" x14ac:dyDescent="0.2">
      <c r="A233" s="15">
        <v>62</v>
      </c>
      <c r="B233" s="4" t="s">
        <v>676</v>
      </c>
    </row>
    <row r="234" spans="1:2" x14ac:dyDescent="0.2">
      <c r="A234" s="15">
        <v>70</v>
      </c>
      <c r="B234" s="4" t="s">
        <v>677</v>
      </c>
    </row>
    <row r="236" spans="1:2" x14ac:dyDescent="0.2">
      <c r="A236" s="3" t="s">
        <v>678</v>
      </c>
    </row>
    <row r="237" spans="1:2" x14ac:dyDescent="0.2">
      <c r="A237" s="5">
        <v>1</v>
      </c>
      <c r="B237" s="4" t="s">
        <v>679</v>
      </c>
    </row>
    <row r="238" spans="1:2" x14ac:dyDescent="0.2">
      <c r="A238" s="5">
        <v>2</v>
      </c>
      <c r="B238" s="4" t="s">
        <v>680</v>
      </c>
    </row>
    <row r="240" spans="1:2" x14ac:dyDescent="0.2">
      <c r="A240" s="3" t="s">
        <v>681</v>
      </c>
    </row>
    <row r="241" spans="1:2" ht="15" x14ac:dyDescent="0.25">
      <c r="A241" s="18" t="s">
        <v>452</v>
      </c>
      <c r="B241" s="4" t="s">
        <v>682</v>
      </c>
    </row>
    <row r="242" spans="1:2" ht="15" x14ac:dyDescent="0.25">
      <c r="A242" s="18" t="s">
        <v>454</v>
      </c>
      <c r="B242" s="4" t="s">
        <v>683</v>
      </c>
    </row>
    <row r="243" spans="1:2" ht="15" x14ac:dyDescent="0.25">
      <c r="A243" s="18" t="s">
        <v>456</v>
      </c>
      <c r="B243" s="4" t="s">
        <v>684</v>
      </c>
    </row>
    <row r="244" spans="1:2" ht="15" x14ac:dyDescent="0.25">
      <c r="A244" s="18" t="s">
        <v>685</v>
      </c>
      <c r="B244" s="4" t="s">
        <v>686</v>
      </c>
    </row>
    <row r="245" spans="1:2" ht="15" x14ac:dyDescent="0.25">
      <c r="A245" s="18" t="s">
        <v>12</v>
      </c>
      <c r="B245" s="4" t="s">
        <v>687</v>
      </c>
    </row>
    <row r="246" spans="1:2" ht="15" x14ac:dyDescent="0.25">
      <c r="A246" s="18" t="s">
        <v>461</v>
      </c>
      <c r="B246" s="4" t="s">
        <v>688</v>
      </c>
    </row>
    <row r="247" spans="1:2" ht="15" x14ac:dyDescent="0.25">
      <c r="A247" s="18" t="s">
        <v>5</v>
      </c>
      <c r="B247" s="4" t="s">
        <v>689</v>
      </c>
    </row>
    <row r="248" spans="1:2" ht="15" x14ac:dyDescent="0.25">
      <c r="A248" s="18" t="s">
        <v>464</v>
      </c>
      <c r="B248" s="4" t="s">
        <v>690</v>
      </c>
    </row>
    <row r="249" spans="1:2" ht="15" x14ac:dyDescent="0.25">
      <c r="A249" s="18" t="s">
        <v>466</v>
      </c>
      <c r="B249" s="4" t="s">
        <v>691</v>
      </c>
    </row>
    <row r="250" spans="1:2" ht="15" x14ac:dyDescent="0.25">
      <c r="A250" s="18" t="s">
        <v>692</v>
      </c>
      <c r="B250" s="4" t="s">
        <v>693</v>
      </c>
    </row>
    <row r="251" spans="1:2" ht="15" x14ac:dyDescent="0.25">
      <c r="A251" s="18" t="s">
        <v>468</v>
      </c>
      <c r="B251" s="4" t="s">
        <v>694</v>
      </c>
    </row>
    <row r="252" spans="1:2" ht="15" x14ac:dyDescent="0.25">
      <c r="A252" s="18" t="s">
        <v>470</v>
      </c>
      <c r="B252" s="4" t="s">
        <v>695</v>
      </c>
    </row>
    <row r="253" spans="1:2" ht="15" x14ac:dyDescent="0.25">
      <c r="A253" s="18" t="s">
        <v>472</v>
      </c>
      <c r="B253" s="4" t="s">
        <v>696</v>
      </c>
    </row>
    <row r="254" spans="1:2" ht="15" x14ac:dyDescent="0.25">
      <c r="A254" s="18" t="s">
        <v>474</v>
      </c>
      <c r="B254" s="4" t="s">
        <v>697</v>
      </c>
    </row>
    <row r="255" spans="1:2" ht="15" x14ac:dyDescent="0.25">
      <c r="A255" s="18" t="s">
        <v>698</v>
      </c>
      <c r="B255" s="4" t="s">
        <v>699</v>
      </c>
    </row>
    <row r="256" spans="1:2" ht="15" x14ac:dyDescent="0.25">
      <c r="A256" s="18" t="s">
        <v>700</v>
      </c>
      <c r="B256" s="4" t="s">
        <v>701</v>
      </c>
    </row>
    <row r="257" spans="1:2" ht="15" x14ac:dyDescent="0.25">
      <c r="A257" s="18" t="s">
        <v>702</v>
      </c>
      <c r="B257" s="4" t="s">
        <v>703</v>
      </c>
    </row>
    <row r="258" spans="1:2" ht="15" x14ac:dyDescent="0.25">
      <c r="A258" s="18" t="s">
        <v>704</v>
      </c>
      <c r="B258" s="4" t="s">
        <v>705</v>
      </c>
    </row>
    <row r="259" spans="1:2" ht="15" x14ac:dyDescent="0.25">
      <c r="A259" s="18" t="s">
        <v>706</v>
      </c>
      <c r="B259" s="4" t="s">
        <v>707</v>
      </c>
    </row>
    <row r="260" spans="1:2" ht="15" x14ac:dyDescent="0.25">
      <c r="A260" s="18" t="s">
        <v>708</v>
      </c>
      <c r="B260" s="4" t="s">
        <v>709</v>
      </c>
    </row>
    <row r="261" spans="1:2" ht="15" x14ac:dyDescent="0.25">
      <c r="A261" s="18" t="s">
        <v>710</v>
      </c>
      <c r="B261" s="4" t="s">
        <v>711</v>
      </c>
    </row>
    <row r="262" spans="1:2" ht="15" x14ac:dyDescent="0.25">
      <c r="A262" s="18" t="s">
        <v>712</v>
      </c>
      <c r="B262" s="4" t="s">
        <v>713</v>
      </c>
    </row>
    <row r="263" spans="1:2" ht="15" x14ac:dyDescent="0.25">
      <c r="A263" s="18" t="s">
        <v>714</v>
      </c>
      <c r="B263" s="4" t="s">
        <v>715</v>
      </c>
    </row>
    <row r="264" spans="1:2" ht="15" x14ac:dyDescent="0.25">
      <c r="A264" s="18" t="s">
        <v>716</v>
      </c>
      <c r="B264" s="4" t="s">
        <v>717</v>
      </c>
    </row>
    <row r="265" spans="1:2" ht="15" x14ac:dyDescent="0.25">
      <c r="A265" s="18" t="s">
        <v>718</v>
      </c>
      <c r="B265" s="4" t="s">
        <v>719</v>
      </c>
    </row>
    <row r="266" spans="1:2" ht="15" x14ac:dyDescent="0.25">
      <c r="A266" s="18" t="s">
        <v>720</v>
      </c>
      <c r="B266" s="4" t="s">
        <v>721</v>
      </c>
    </row>
    <row r="267" spans="1:2" ht="15" x14ac:dyDescent="0.25">
      <c r="A267" s="18" t="s">
        <v>722</v>
      </c>
      <c r="B267" s="4" t="s">
        <v>723</v>
      </c>
    </row>
    <row r="268" spans="1:2" ht="15" x14ac:dyDescent="0.25">
      <c r="A268" s="18" t="s">
        <v>724</v>
      </c>
      <c r="B268" s="4" t="s">
        <v>725</v>
      </c>
    </row>
    <row r="269" spans="1:2" ht="15" x14ac:dyDescent="0.25">
      <c r="A269" s="18" t="s">
        <v>10</v>
      </c>
      <c r="B269" s="4" t="s">
        <v>726</v>
      </c>
    </row>
    <row r="270" spans="1:2" ht="15" x14ac:dyDescent="0.25">
      <c r="A270" s="18" t="s">
        <v>727</v>
      </c>
      <c r="B270" s="4" t="s">
        <v>728</v>
      </c>
    </row>
    <row r="271" spans="1:2" ht="15" x14ac:dyDescent="0.25">
      <c r="A271" s="18" t="s">
        <v>729</v>
      </c>
      <c r="B271" s="4" t="s">
        <v>730</v>
      </c>
    </row>
    <row r="272" spans="1:2" ht="15" x14ac:dyDescent="0.25">
      <c r="A272" s="18" t="s">
        <v>731</v>
      </c>
      <c r="B272" s="4" t="s">
        <v>732</v>
      </c>
    </row>
    <row r="273" spans="1:3" ht="15" x14ac:dyDescent="0.25">
      <c r="A273" s="18" t="s">
        <v>733</v>
      </c>
      <c r="B273" s="4" t="s">
        <v>734</v>
      </c>
    </row>
    <row r="274" spans="1:3" ht="15" x14ac:dyDescent="0.25">
      <c r="A274" s="18" t="s">
        <v>735</v>
      </c>
      <c r="B274" s="4" t="s">
        <v>736</v>
      </c>
    </row>
    <row r="275" spans="1:3" ht="15" x14ac:dyDescent="0.25">
      <c r="A275" s="18" t="s">
        <v>737</v>
      </c>
      <c r="B275" s="4" t="s">
        <v>738</v>
      </c>
    </row>
    <row r="276" spans="1:3" ht="15" x14ac:dyDescent="0.25">
      <c r="A276" s="18" t="s">
        <v>739</v>
      </c>
      <c r="B276" s="4" t="s">
        <v>740</v>
      </c>
    </row>
    <row r="277" spans="1:3" ht="15" x14ac:dyDescent="0.25">
      <c r="A277" s="18" t="s">
        <v>741</v>
      </c>
      <c r="B277" s="4" t="s">
        <v>742</v>
      </c>
    </row>
    <row r="278" spans="1:3" ht="15" x14ac:dyDescent="0.25">
      <c r="A278" s="18" t="s">
        <v>743</v>
      </c>
      <c r="B278" s="4" t="s">
        <v>744</v>
      </c>
    </row>
    <row r="279" spans="1:3" ht="15" x14ac:dyDescent="0.25">
      <c r="A279" s="18" t="s">
        <v>745</v>
      </c>
      <c r="B279" s="4" t="s">
        <v>746</v>
      </c>
    </row>
    <row r="280" spans="1:3" ht="15" x14ac:dyDescent="0.25">
      <c r="A280" s="18" t="s">
        <v>747</v>
      </c>
      <c r="B280" s="4" t="s">
        <v>748</v>
      </c>
    </row>
    <row r="281" spans="1:3" ht="15" x14ac:dyDescent="0.25">
      <c r="A281" s="18" t="s">
        <v>749</v>
      </c>
      <c r="B281" s="4" t="s">
        <v>750</v>
      </c>
    </row>
    <row r="282" spans="1:3" ht="15" x14ac:dyDescent="0.25">
      <c r="A282" s="18" t="s">
        <v>751</v>
      </c>
      <c r="B282" s="4" t="s">
        <v>752</v>
      </c>
    </row>
    <row r="283" spans="1:3" ht="15" x14ac:dyDescent="0.25">
      <c r="A283" s="18" t="s">
        <v>753</v>
      </c>
      <c r="B283" s="4" t="s">
        <v>754</v>
      </c>
    </row>
    <row r="284" spans="1:3" ht="15" x14ac:dyDescent="0.25">
      <c r="A284" s="18" t="s">
        <v>755</v>
      </c>
      <c r="B284" s="4" t="s">
        <v>756</v>
      </c>
    </row>
    <row r="285" spans="1:3" ht="15" x14ac:dyDescent="0.25">
      <c r="A285" s="18" t="s">
        <v>757</v>
      </c>
      <c r="B285" s="4" t="s">
        <v>758</v>
      </c>
    </row>
    <row r="287" spans="1:3" x14ac:dyDescent="0.2">
      <c r="A287" s="3" t="s">
        <v>759</v>
      </c>
    </row>
    <row r="288" spans="1:3" ht="15" x14ac:dyDescent="0.25">
      <c r="A288" s="19" t="s">
        <v>458</v>
      </c>
      <c r="B288" t="s">
        <v>760</v>
      </c>
      <c r="C288" t="s">
        <v>761</v>
      </c>
    </row>
    <row r="289" spans="1:3" ht="15" x14ac:dyDescent="0.25">
      <c r="A289" s="19" t="s">
        <v>464</v>
      </c>
      <c r="B289" t="s">
        <v>762</v>
      </c>
      <c r="C289" t="s">
        <v>761</v>
      </c>
    </row>
    <row r="290" spans="1:3" ht="15" x14ac:dyDescent="0.25">
      <c r="A290" s="19" t="s">
        <v>466</v>
      </c>
      <c r="B290" t="s">
        <v>763</v>
      </c>
      <c r="C290" t="s">
        <v>761</v>
      </c>
    </row>
    <row r="291" spans="1:3" ht="15" x14ac:dyDescent="0.25">
      <c r="A291" s="19" t="s">
        <v>692</v>
      </c>
      <c r="B291" t="s">
        <v>764</v>
      </c>
      <c r="C291" t="s">
        <v>765</v>
      </c>
    </row>
    <row r="292" spans="1:3" ht="15" x14ac:dyDescent="0.25">
      <c r="A292" s="19" t="s">
        <v>468</v>
      </c>
      <c r="B292" t="s">
        <v>764</v>
      </c>
      <c r="C292" t="s">
        <v>761</v>
      </c>
    </row>
    <row r="293" spans="1:3" ht="15" x14ac:dyDescent="0.25">
      <c r="A293" s="19" t="s">
        <v>470</v>
      </c>
      <c r="B293" t="s">
        <v>766</v>
      </c>
      <c r="C293" t="s">
        <v>765</v>
      </c>
    </row>
    <row r="294" spans="1:3" ht="15" x14ac:dyDescent="0.25">
      <c r="A294" s="19" t="s">
        <v>472</v>
      </c>
      <c r="B294" t="s">
        <v>766</v>
      </c>
      <c r="C294" t="s">
        <v>761</v>
      </c>
    </row>
    <row r="295" spans="1:3" ht="15" x14ac:dyDescent="0.25">
      <c r="A295" s="19" t="s">
        <v>700</v>
      </c>
      <c r="B295" t="s">
        <v>767</v>
      </c>
      <c r="C295" t="s">
        <v>761</v>
      </c>
    </row>
    <row r="296" spans="1:3" ht="15" x14ac:dyDescent="0.25">
      <c r="A296" s="19" t="s">
        <v>704</v>
      </c>
      <c r="B296" t="s">
        <v>768</v>
      </c>
      <c r="C296" t="s">
        <v>765</v>
      </c>
    </row>
    <row r="297" spans="1:3" ht="15" x14ac:dyDescent="0.25">
      <c r="A297" s="19" t="s">
        <v>706</v>
      </c>
      <c r="B297" t="s">
        <v>768</v>
      </c>
      <c r="C297" t="s">
        <v>761</v>
      </c>
    </row>
    <row r="298" spans="1:3" ht="15" x14ac:dyDescent="0.25">
      <c r="A298" s="19" t="s">
        <v>708</v>
      </c>
      <c r="B298" t="s">
        <v>769</v>
      </c>
      <c r="C298" t="s">
        <v>761</v>
      </c>
    </row>
    <row r="299" spans="1:3" ht="15" x14ac:dyDescent="0.25">
      <c r="A299" s="19" t="s">
        <v>710</v>
      </c>
      <c r="B299" t="s">
        <v>770</v>
      </c>
      <c r="C299" t="s">
        <v>765</v>
      </c>
    </row>
    <row r="300" spans="1:3" ht="15" x14ac:dyDescent="0.25">
      <c r="A300" s="19" t="s">
        <v>712</v>
      </c>
      <c r="B300" t="s">
        <v>770</v>
      </c>
      <c r="C300" t="s">
        <v>761</v>
      </c>
    </row>
    <row r="301" spans="1:3" ht="15" x14ac:dyDescent="0.25">
      <c r="A301" s="19" t="s">
        <v>714</v>
      </c>
      <c r="B301" t="s">
        <v>771</v>
      </c>
      <c r="C301" t="s">
        <v>761</v>
      </c>
    </row>
    <row r="302" spans="1:3" ht="15" x14ac:dyDescent="0.25">
      <c r="A302" s="19" t="s">
        <v>772</v>
      </c>
      <c r="B302" t="s">
        <v>771</v>
      </c>
      <c r="C302" t="s">
        <v>765</v>
      </c>
    </row>
    <row r="303" spans="1:3" ht="15" x14ac:dyDescent="0.25">
      <c r="A303" s="19" t="s">
        <v>720</v>
      </c>
      <c r="B303" t="s">
        <v>773</v>
      </c>
      <c r="C303" t="s">
        <v>761</v>
      </c>
    </row>
    <row r="304" spans="1:3" ht="15" x14ac:dyDescent="0.25">
      <c r="A304" s="19" t="s">
        <v>722</v>
      </c>
      <c r="B304" t="s">
        <v>774</v>
      </c>
      <c r="C304" t="s">
        <v>761</v>
      </c>
    </row>
    <row r="305" spans="1:3" ht="15" x14ac:dyDescent="0.25">
      <c r="A305" s="19" t="s">
        <v>724</v>
      </c>
      <c r="B305" t="s">
        <v>775</v>
      </c>
      <c r="C305" t="s">
        <v>761</v>
      </c>
    </row>
    <row r="306" spans="1:3" ht="15" x14ac:dyDescent="0.25">
      <c r="A306" s="19" t="s">
        <v>735</v>
      </c>
      <c r="B306" t="s">
        <v>776</v>
      </c>
      <c r="C306" t="s">
        <v>765</v>
      </c>
    </row>
    <row r="307" spans="1:3" ht="15" x14ac:dyDescent="0.25">
      <c r="A307" s="19" t="s">
        <v>737</v>
      </c>
      <c r="B307" t="s">
        <v>776</v>
      </c>
      <c r="C307" t="s">
        <v>761</v>
      </c>
    </row>
    <row r="308" spans="1:3" ht="15" x14ac:dyDescent="0.25">
      <c r="A308" s="19" t="s">
        <v>10</v>
      </c>
      <c r="B308" t="s">
        <v>777</v>
      </c>
      <c r="C308" t="s">
        <v>765</v>
      </c>
    </row>
    <row r="309" spans="1:3" ht="15" x14ac:dyDescent="0.25">
      <c r="A309" s="19" t="s">
        <v>727</v>
      </c>
      <c r="B309" t="s">
        <v>777</v>
      </c>
      <c r="C309" t="s">
        <v>761</v>
      </c>
    </row>
    <row r="310" spans="1:3" ht="15" x14ac:dyDescent="0.25">
      <c r="A310" s="19" t="s">
        <v>778</v>
      </c>
      <c r="B310" t="s">
        <v>779</v>
      </c>
      <c r="C310" t="s">
        <v>765</v>
      </c>
    </row>
    <row r="311" spans="1:3" ht="15" x14ac:dyDescent="0.25">
      <c r="A311" s="19" t="s">
        <v>729</v>
      </c>
      <c r="B311" t="s">
        <v>779</v>
      </c>
      <c r="C311" t="s">
        <v>761</v>
      </c>
    </row>
    <row r="312" spans="1:3" ht="15" x14ac:dyDescent="0.25">
      <c r="A312" s="19" t="s">
        <v>731</v>
      </c>
      <c r="B312" t="s">
        <v>780</v>
      </c>
      <c r="C312" t="s">
        <v>765</v>
      </c>
    </row>
    <row r="313" spans="1:3" ht="15" x14ac:dyDescent="0.25">
      <c r="A313" s="19" t="s">
        <v>733</v>
      </c>
      <c r="B313" t="s">
        <v>780</v>
      </c>
      <c r="C313" t="s">
        <v>761</v>
      </c>
    </row>
    <row r="314" spans="1:3" ht="15" x14ac:dyDescent="0.25">
      <c r="A314" s="19" t="s">
        <v>781</v>
      </c>
      <c r="B314" t="s">
        <v>782</v>
      </c>
      <c r="C314" t="s">
        <v>765</v>
      </c>
    </row>
    <row r="315" spans="1:3" ht="15" x14ac:dyDescent="0.25">
      <c r="A315" s="19" t="s">
        <v>783</v>
      </c>
      <c r="B315" t="s">
        <v>782</v>
      </c>
      <c r="C315" t="s">
        <v>761</v>
      </c>
    </row>
    <row r="316" spans="1:3" ht="15" x14ac:dyDescent="0.25">
      <c r="A316" s="19" t="s">
        <v>784</v>
      </c>
      <c r="B316" t="s">
        <v>785</v>
      </c>
      <c r="C316" t="s">
        <v>761</v>
      </c>
    </row>
    <row r="319" spans="1:3" ht="21.75" x14ac:dyDescent="0.2">
      <c r="A319" s="20" t="s">
        <v>786</v>
      </c>
      <c r="B319" s="21" t="s">
        <v>787</v>
      </c>
      <c r="C319" s="16"/>
    </row>
    <row r="320" spans="1:3" ht="15" x14ac:dyDescent="0.25">
      <c r="A320" s="19" t="s">
        <v>788</v>
      </c>
      <c r="B320" t="s">
        <v>789</v>
      </c>
      <c r="C320" s="16"/>
    </row>
    <row r="321" spans="1:3" ht="15" x14ac:dyDescent="0.25">
      <c r="A321" s="19" t="s">
        <v>790</v>
      </c>
      <c r="B321" t="s">
        <v>791</v>
      </c>
      <c r="C321" s="16"/>
    </row>
  </sheetData>
  <dataConsolidate>
    <dataRefs count="1">
      <dataRef name="$B$51$C$51$D$51" r:id="rId1"/>
    </dataRefs>
  </dataConsolidate>
  <pageMargins left="0.511811024" right="0.511811024" top="0.78740157499999996" bottom="0.78740157499999996" header="0.31496062000000002" footer="0.31496062000000002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2BA88E-792C-49E6-ADE6-BBCD519C0C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ALT CADASTRAIS</vt:lpstr>
      <vt:lpstr>FICHA FINANCEIRA</vt:lpstr>
      <vt:lpstr>EVENTOS</vt:lpstr>
      <vt:lpstr>OCORRENCIAS</vt:lpstr>
      <vt:lpstr>PESSOAS</vt:lpstr>
      <vt:lpstr>HST TRANSF</vt:lpstr>
      <vt:lpstr>HST ALT SALARIAL</vt:lpstr>
      <vt:lpstr>FERIAS CONCEDIDAS</vt:lpstr>
      <vt:lpstr>FAMILIA</vt:lpstr>
      <vt:lpstr>CONTRATO</vt:lpstr>
      <vt:lpstr>CARGO</vt:lpstr>
      <vt:lpstr>Dicionário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2026-07-10T17:46:18Z</dcterms:created>
  <dcterms:modified xsi:type="dcterms:W3CDTF">2026-07-10T20:29:54Z</dcterms:modified>
</cp:coreProperties>
</file>